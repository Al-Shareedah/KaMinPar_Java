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ngw\OneDrive\Documents\GitHub\KaMinPar_Java\Experiments data\Contraction Limit\"/>
    </mc:Choice>
  </mc:AlternateContent>
  <xr:revisionPtr revIDLastSave="0" documentId="13_ncr:1_{3CC26555-89B1-4CA6-9E45-270F1F75831D}" xr6:coauthVersionLast="47" xr6:coauthVersionMax="47" xr10:uidLastSave="{00000000-0000-0000-0000-000000000000}"/>
  <bookViews>
    <workbookView xWindow="28680" yWindow="-210" windowWidth="29040" windowHeight="15720" xr2:uid="{00000000-000D-0000-FFFF-FFFF00000000}"/>
  </bookViews>
  <sheets>
    <sheet name="Edge Cuts" sheetId="1" r:id="rId1"/>
    <sheet name="Runtimes" sheetId="3" r:id="rId2"/>
    <sheet name="CCM" sheetId="5" r:id="rId3"/>
    <sheet name="Contiguity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8" i="1" l="1"/>
  <c r="L68" i="1"/>
  <c r="O68" i="1"/>
  <c r="N68" i="1"/>
  <c r="K57" i="1"/>
  <c r="J57" i="1"/>
  <c r="M66" i="1" l="1"/>
  <c r="M67" i="1"/>
  <c r="M65" i="1"/>
  <c r="L66" i="1"/>
  <c r="L67" i="1"/>
  <c r="L65" i="1"/>
  <c r="K66" i="1"/>
  <c r="K67" i="1"/>
  <c r="K68" i="1"/>
  <c r="K65" i="1"/>
  <c r="J66" i="1"/>
  <c r="J67" i="1"/>
  <c r="J65" i="1"/>
  <c r="I65" i="7"/>
  <c r="E95" i="5"/>
  <c r="E84" i="5"/>
  <c r="H65" i="7"/>
  <c r="I64" i="7"/>
  <c r="H64" i="7"/>
  <c r="I63" i="7"/>
  <c r="H63" i="7"/>
  <c r="I62" i="7"/>
  <c r="H62" i="7"/>
  <c r="E92" i="5"/>
  <c r="E94" i="5"/>
  <c r="E93" i="5"/>
  <c r="D84" i="5"/>
  <c r="E83" i="5"/>
  <c r="D83" i="5"/>
  <c r="E82" i="5"/>
  <c r="D82" i="5"/>
  <c r="E81" i="5"/>
  <c r="D81" i="5"/>
  <c r="I53" i="3"/>
  <c r="H54" i="3"/>
  <c r="I54" i="3"/>
  <c r="H53" i="3"/>
  <c r="I52" i="3"/>
  <c r="H52" i="3"/>
  <c r="I51" i="3"/>
  <c r="H51" i="3"/>
  <c r="I57" i="1"/>
  <c r="M68" i="1" s="1"/>
  <c r="I56" i="1"/>
  <c r="I55" i="1"/>
  <c r="I54" i="1"/>
  <c r="H57" i="1"/>
  <c r="H56" i="1"/>
  <c r="H55" i="1"/>
  <c r="H54" i="1"/>
  <c r="B51" i="3"/>
  <c r="B63" i="7"/>
  <c r="B62" i="7"/>
  <c r="G65" i="7"/>
  <c r="F65" i="7"/>
  <c r="E65" i="7"/>
  <c r="D65" i="7"/>
  <c r="C65" i="7"/>
  <c r="B65" i="7"/>
  <c r="G64" i="7"/>
  <c r="F64" i="7"/>
  <c r="E64" i="7"/>
  <c r="D64" i="7"/>
  <c r="C64" i="7"/>
  <c r="B64" i="7"/>
  <c r="G63" i="7"/>
  <c r="F63" i="7"/>
  <c r="E63" i="7"/>
  <c r="D63" i="7"/>
  <c r="C63" i="7"/>
  <c r="G62" i="7"/>
  <c r="F62" i="7"/>
  <c r="E62" i="7"/>
  <c r="D62" i="7"/>
  <c r="C62" i="7"/>
  <c r="C95" i="5"/>
  <c r="B95" i="5"/>
  <c r="C94" i="5"/>
  <c r="B94" i="5"/>
  <c r="C93" i="5"/>
  <c r="B93" i="5"/>
  <c r="C92" i="5"/>
  <c r="B92" i="5"/>
  <c r="B82" i="5"/>
  <c r="B81" i="5"/>
  <c r="C84" i="5"/>
  <c r="B84" i="5"/>
  <c r="C83" i="5"/>
  <c r="B83" i="5"/>
  <c r="C82" i="5"/>
  <c r="C81" i="5"/>
  <c r="B54" i="1"/>
  <c r="G57" i="1"/>
  <c r="F57" i="1"/>
  <c r="E57" i="1"/>
  <c r="D57" i="1"/>
  <c r="C57" i="1"/>
  <c r="B57" i="1"/>
  <c r="G56" i="1"/>
  <c r="F56" i="1"/>
  <c r="E56" i="1"/>
  <c r="D56" i="1"/>
  <c r="C56" i="1"/>
  <c r="B56" i="1"/>
  <c r="G55" i="1"/>
  <c r="F55" i="1"/>
  <c r="E55" i="1"/>
  <c r="D55" i="1"/>
  <c r="C55" i="1"/>
  <c r="B55" i="1"/>
  <c r="G54" i="1"/>
  <c r="F54" i="1"/>
  <c r="E54" i="1"/>
  <c r="D54" i="1"/>
  <c r="C54" i="1"/>
  <c r="G54" i="3"/>
  <c r="G53" i="3"/>
  <c r="G52" i="3"/>
  <c r="G51" i="3"/>
  <c r="F54" i="3"/>
  <c r="F53" i="3"/>
  <c r="F52" i="3"/>
  <c r="F51" i="3"/>
  <c r="E54" i="3"/>
  <c r="E53" i="3"/>
  <c r="E52" i="3"/>
  <c r="E51" i="3"/>
  <c r="D54" i="3"/>
  <c r="D53" i="3"/>
  <c r="D52" i="3"/>
  <c r="D51" i="3"/>
  <c r="C54" i="3"/>
  <c r="C53" i="3"/>
  <c r="C52" i="3"/>
  <c r="C51" i="3"/>
  <c r="B54" i="3"/>
  <c r="B53" i="3"/>
  <c r="B52" i="3"/>
</calcChain>
</file>

<file path=xl/sharedStrings.xml><?xml version="1.0" encoding="utf-8"?>
<sst xmlns="http://schemas.openxmlformats.org/spreadsheetml/2006/main" count="338" uniqueCount="38">
  <si>
    <t>KaHIP</t>
  </si>
  <si>
    <t>KaMinPar</t>
  </si>
  <si>
    <t>Average Connected Components</t>
  </si>
  <si>
    <t>Average percentage by which partitions missed the desired size</t>
  </si>
  <si>
    <t>f = [0.7, 0.3, 0, -0.3, -0.7]</t>
  </si>
  <si>
    <t>Edge Cut</t>
  </si>
  <si>
    <t>Proposed Model</t>
  </si>
  <si>
    <t xml:space="preserve">Proposed Model Without Refinement </t>
  </si>
  <si>
    <t>Proposed Model without (Split &amp; Merge)</t>
  </si>
  <si>
    <t xml:space="preserve">Proposed Model without (Split &amp; Merge) + Refinement </t>
  </si>
  <si>
    <t>Result 1</t>
  </si>
  <si>
    <t>Result 2</t>
  </si>
  <si>
    <t>Result 3</t>
  </si>
  <si>
    <t>Result 4</t>
  </si>
  <si>
    <t>Result 5</t>
  </si>
  <si>
    <t>Runtimes</t>
  </si>
  <si>
    <t>CCM</t>
  </si>
  <si>
    <t>K = 4, Graph = PGP, Contraction = 15%, f = [0.3] Contraction limit = 4539</t>
  </si>
  <si>
    <t>K = 4, Graph = PGP, Contraction = 35%, f = [0.3] Contraction limit = 3471</t>
  </si>
  <si>
    <t>K = 4, Graph = Email, Contraction = 55%, f = [0.3], CONTRACTION_LIMIT = 2403</t>
  </si>
  <si>
    <t>K = 4, Graph = Email, Contraction = 70%, f = [0.3], CONTRACTION_LIMIT = 1602</t>
  </si>
  <si>
    <t>Average</t>
  </si>
  <si>
    <t>Average Results</t>
  </si>
  <si>
    <t>Partition Sizes = 1726, 2244, 2917, 3793</t>
  </si>
  <si>
    <t>Deep Multilevel, ε= 0.0</t>
  </si>
  <si>
    <t>Deep Multilevel, ε = 0.05</t>
  </si>
  <si>
    <t>Deep Multilevel, ε = 5</t>
  </si>
  <si>
    <t>Deep Multilevel, ε= 0</t>
  </si>
  <si>
    <t>K = 4, Graph = PGP, Contraction = 70%, Cardinality Sizes = [1726, 2244, 2917, 3793] at f = 0.3, CL= 1602</t>
  </si>
  <si>
    <t>Deep Multilevel, ε = 200</t>
  </si>
  <si>
    <t>Deep Multilevel, ε = 400</t>
  </si>
  <si>
    <t>Deep Multilevel, ε = 800</t>
  </si>
  <si>
    <t>Deep NUGP, ε= 0</t>
  </si>
  <si>
    <t>Deep NUGP, ε = 200</t>
  </si>
  <si>
    <t>Deep NUGP, ε = 400</t>
  </si>
  <si>
    <t>Deep NUGP, ε = 800</t>
  </si>
  <si>
    <t xml:space="preserve">Edge Cut </t>
  </si>
  <si>
    <t>Deep NUGP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</si>
</sst>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6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  <xf numFmtId="0" fontId="0" fillId="0" borderId="2" xfId="0" applyBorder="1"/>
    <xf numFmtId="0" fontId="1" fillId="0" borderId="1" xfId="0" applyFont="1" applyBorder="1" applyAlignment="1">
      <alignment horizontal="center" vertical="top" wrapText="1"/>
    </xf>
    <xf numFmtId="0" fontId="0" fillId="0" borderId="1" xfId="0" applyBorder="1"/>
    <xf numFmtId="0" fontId="0" fillId="0" borderId="2" xfId="0" applyBorder="1" applyAlignment="1">
      <alignment vertical="center"/>
    </xf>
    <xf numFmtId="9" fontId="2" fillId="0" borderId="1" xfId="0" applyNumberFormat="1" applyFont="1" applyBorder="1" applyAlignment="1">
      <alignment horizontal="center" vertical="top"/>
    </xf>
    <xf numFmtId="9" fontId="2" fillId="0" borderId="3" xfId="0" applyNumberFormat="1" applyFont="1" applyBorder="1" applyAlignment="1">
      <alignment horizontal="center" vertical="top"/>
    </xf>
    <xf numFmtId="49" fontId="0" fillId="0" borderId="0" xfId="0" applyNumberFormat="1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10" fontId="4" fillId="0" borderId="0" xfId="0" applyNumberFormat="1" applyFont="1"/>
    <xf numFmtId="9" fontId="0" fillId="0" borderId="0" xfId="1" applyFont="1"/>
    <xf numFmtId="9" fontId="2" fillId="0" borderId="1" xfId="1" applyFont="1" applyBorder="1" applyAlignment="1">
      <alignment horizontal="center" vertical="top"/>
    </xf>
    <xf numFmtId="0" fontId="4" fillId="0" borderId="0" xfId="0" applyFont="1"/>
    <xf numFmtId="0" fontId="2" fillId="0" borderId="0" xfId="0" applyFont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7" xfId="0" applyFont="1" applyBorder="1" applyAlignment="1">
      <alignment horizontal="center" vertical="top"/>
    </xf>
    <xf numFmtId="0" fontId="0" fillId="3" borderId="4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0" xfId="0" applyFill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Edge Cut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4"/>
          <c:tx>
            <c:strRef>
              <c:f>'Edge Cuts'!$F$53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'Edge Cuts'!$A$54:$A$57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'Edge Cuts'!$F$54:$F$57</c:f>
              <c:numCache>
                <c:formatCode>General</c:formatCode>
                <c:ptCount val="4"/>
                <c:pt idx="0">
                  <c:v>756.6</c:v>
                </c:pt>
                <c:pt idx="1">
                  <c:v>737.4</c:v>
                </c:pt>
                <c:pt idx="2">
                  <c:v>778</c:v>
                </c:pt>
                <c:pt idx="3">
                  <c:v>761.2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846-4D1F-90B2-1EFAF08DC889}"/>
            </c:ext>
          </c:extLst>
        </c:ser>
        <c:ser>
          <c:idx val="5"/>
          <c:order val="5"/>
          <c:tx>
            <c:strRef>
              <c:f>'Edge Cuts'!$G$53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'Edge Cuts'!$A$54:$A$57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'Edge Cuts'!$G$54:$G$57</c:f>
              <c:numCache>
                <c:formatCode>General</c:formatCode>
                <c:ptCount val="4"/>
                <c:pt idx="0">
                  <c:v>1301.4000000000001</c:v>
                </c:pt>
                <c:pt idx="1">
                  <c:v>1301.4000000000001</c:v>
                </c:pt>
                <c:pt idx="2">
                  <c:v>1301.4000000000001</c:v>
                </c:pt>
                <c:pt idx="3">
                  <c:v>1301.4000000000001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846-4D1F-90B2-1EFAF08DC889}"/>
            </c:ext>
          </c:extLst>
        </c:ser>
        <c:ser>
          <c:idx val="6"/>
          <c:order val="6"/>
          <c:tx>
            <c:strRef>
              <c:f>'Edge Cuts'!$H$53</c:f>
              <c:strCache>
                <c:ptCount val="1"/>
                <c:pt idx="0">
                  <c:v>Deep Multilevel, ε= 0.0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'Edge Cuts'!$A$54:$A$57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'Edge Cuts'!$H$54:$H$57</c:f>
              <c:numCache>
                <c:formatCode>General</c:formatCode>
                <c:ptCount val="4"/>
                <c:pt idx="0">
                  <c:v>2660.6</c:v>
                </c:pt>
                <c:pt idx="1">
                  <c:v>2033.8</c:v>
                </c:pt>
                <c:pt idx="2">
                  <c:v>2268.4</c:v>
                </c:pt>
                <c:pt idx="3">
                  <c:v>825.4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8E-438E-B133-28484BCD3845}"/>
            </c:ext>
          </c:extLst>
        </c:ser>
        <c:ser>
          <c:idx val="7"/>
          <c:order val="7"/>
          <c:tx>
            <c:strRef>
              <c:f>'Edge Cuts'!$I$53</c:f>
              <c:strCache>
                <c:ptCount val="1"/>
                <c:pt idx="0">
                  <c:v>Deep Multilevel, ε = 200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'Edge Cuts'!$A$54:$A$57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'Edge Cuts'!$I$54:$I$57</c:f>
              <c:numCache>
                <c:formatCode>General</c:formatCode>
                <c:ptCount val="4"/>
                <c:pt idx="0">
                  <c:v>1344.8</c:v>
                </c:pt>
                <c:pt idx="1">
                  <c:v>1748.2</c:v>
                </c:pt>
                <c:pt idx="2">
                  <c:v>1281.2</c:v>
                </c:pt>
                <c:pt idx="3">
                  <c:v>808.6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08E-438E-B133-28484BCD38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7720959"/>
        <c:axId val="1147717119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'Edge Cuts'!$B$53</c15:sqref>
                        </c15:formulaRef>
                      </c:ext>
                    </c:extLst>
                    <c:strCache>
                      <c:ptCount val="1"/>
                      <c:pt idx="0">
                        <c:v>Proposed Model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'Edge Cuts'!$A$54:$A$57</c15:sqref>
                        </c15:formulaRef>
                      </c:ext>
                    </c:extLst>
                    <c:numCache>
                      <c:formatCode>0%</c:formatCode>
                      <c:ptCount val="4"/>
                      <c:pt idx="0">
                        <c:v>0.15</c:v>
                      </c:pt>
                      <c:pt idx="1">
                        <c:v>0.35</c:v>
                      </c:pt>
                      <c:pt idx="2">
                        <c:v>0.55000000000000004</c:v>
                      </c:pt>
                      <c:pt idx="3">
                        <c:v>0.7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'Edge Cuts'!$B$54:$B$57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4666</c:v>
                      </c:pt>
                      <c:pt idx="1">
                        <c:v>5044.2</c:v>
                      </c:pt>
                      <c:pt idx="2">
                        <c:v>4271.2</c:v>
                      </c:pt>
                      <c:pt idx="3">
                        <c:v>3404.2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F846-4D1F-90B2-1EFAF08DC889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'Edge Cuts'!$C$53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Refinement 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'Edge Cuts'!$A$54:$A$57</c15:sqref>
                        </c15:formulaRef>
                      </c:ext>
                    </c:extLst>
                    <c:numCache>
                      <c:formatCode>0%</c:formatCode>
                      <c:ptCount val="4"/>
                      <c:pt idx="0">
                        <c:v>0.15</c:v>
                      </c:pt>
                      <c:pt idx="1">
                        <c:v>0.35</c:v>
                      </c:pt>
                      <c:pt idx="2">
                        <c:v>0.55000000000000004</c:v>
                      </c:pt>
                      <c:pt idx="3">
                        <c:v>0.7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'Edge Cuts'!$C$54:$C$57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5071.2</c:v>
                      </c:pt>
                      <c:pt idx="1">
                        <c:v>5279.4</c:v>
                      </c:pt>
                      <c:pt idx="2">
                        <c:v>3993.2</c:v>
                      </c:pt>
                      <c:pt idx="3">
                        <c:v>3678.4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F846-4D1F-90B2-1EFAF08DC889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'Edge Cuts'!$D$53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(Split &amp; Merge)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'Edge Cuts'!$A$54:$A$57</c15:sqref>
                        </c15:formulaRef>
                      </c:ext>
                    </c:extLst>
                    <c:numCache>
                      <c:formatCode>0%</c:formatCode>
                      <c:ptCount val="4"/>
                      <c:pt idx="0">
                        <c:v>0.15</c:v>
                      </c:pt>
                      <c:pt idx="1">
                        <c:v>0.35</c:v>
                      </c:pt>
                      <c:pt idx="2">
                        <c:v>0.55000000000000004</c:v>
                      </c:pt>
                      <c:pt idx="3">
                        <c:v>0.7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'Edge Cuts'!$D$54:$D$57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8123.2</c:v>
                      </c:pt>
                      <c:pt idx="1">
                        <c:v>8720.7999999999993</c:v>
                      </c:pt>
                      <c:pt idx="2">
                        <c:v>8029.8</c:v>
                      </c:pt>
                      <c:pt idx="3">
                        <c:v>5498.8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846-4D1F-90B2-1EFAF08DC889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'Edge Cuts'!$E$53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(Split &amp; Merge) + Refinement 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'Edge Cuts'!$A$54:$A$57</c15:sqref>
                        </c15:formulaRef>
                      </c:ext>
                    </c:extLst>
                    <c:numCache>
                      <c:formatCode>0%</c:formatCode>
                      <c:ptCount val="4"/>
                      <c:pt idx="0">
                        <c:v>0.15</c:v>
                      </c:pt>
                      <c:pt idx="1">
                        <c:v>0.35</c:v>
                      </c:pt>
                      <c:pt idx="2">
                        <c:v>0.55000000000000004</c:v>
                      </c:pt>
                      <c:pt idx="3">
                        <c:v>0.7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'Edge Cuts'!$E$54:$E$57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7834.6</c:v>
                      </c:pt>
                      <c:pt idx="1">
                        <c:v>7230.4</c:v>
                      </c:pt>
                      <c:pt idx="2">
                        <c:v>5096.3999999999996</c:v>
                      </c:pt>
                      <c:pt idx="3">
                        <c:v>4519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846-4D1F-90B2-1EFAF08DC889}"/>
                  </c:ext>
                </c:extLst>
              </c15:ser>
            </c15:filteredScatterSeries>
          </c:ext>
        </c:extLst>
      </c:scatterChart>
      <c:valAx>
        <c:axId val="1147720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717119"/>
        <c:crosses val="autoZero"/>
        <c:crossBetween val="midCat"/>
      </c:valAx>
      <c:valAx>
        <c:axId val="1147717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7209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Edge Cut as Epislon Increases</a:t>
            </a:r>
            <a:endParaRPr lang="en-US" sz="16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'Edge Cuts'!$J$64</c:f>
              <c:strCache>
                <c:ptCount val="1"/>
                <c:pt idx="0">
                  <c:v>KaMinPar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'Edge Cuts'!$I$68</c:f>
              <c:numCache>
                <c:formatCode>0%</c:formatCode>
                <c:ptCount val="1"/>
                <c:pt idx="0">
                  <c:v>0.7</c:v>
                </c:pt>
              </c:numCache>
            </c:numRef>
          </c:cat>
          <c:val>
            <c:numRef>
              <c:f>'Edge Cuts'!$J$68</c:f>
              <c:numCache>
                <c:formatCode>0%</c:formatCode>
                <c:ptCount val="1"/>
                <c:pt idx="0">
                  <c:v>0.41509143998770553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F1-4933-A1F2-02FE4A2A580F}"/>
            </c:ext>
          </c:extLst>
        </c:ser>
        <c:ser>
          <c:idx val="2"/>
          <c:order val="2"/>
          <c:tx>
            <c:strRef>
              <c:f>'Edge Cuts'!$L$64</c:f>
              <c:strCache>
                <c:ptCount val="1"/>
                <c:pt idx="0">
                  <c:v>Deep NUGP, ε= 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'Edge Cuts'!$I$68</c:f>
              <c:numCache>
                <c:formatCode>0%</c:formatCode>
                <c:ptCount val="1"/>
                <c:pt idx="0">
                  <c:v>0.7</c:v>
                </c:pt>
              </c:numCache>
            </c:numRef>
          </c:cat>
          <c:val>
            <c:numRef>
              <c:f>'Edge Cuts'!$L$68</c:f>
              <c:numCache>
                <c:formatCode>0%</c:formatCode>
                <c:ptCount val="1"/>
                <c:pt idx="0">
                  <c:v>0.36575995082219154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F1-4933-A1F2-02FE4A2A580F}"/>
            </c:ext>
          </c:extLst>
        </c:ser>
        <c:ser>
          <c:idx val="3"/>
          <c:order val="3"/>
          <c:tx>
            <c:strRef>
              <c:f>'Edge Cuts'!$M$64</c:f>
              <c:strCache>
                <c:ptCount val="1"/>
                <c:pt idx="0">
                  <c:v>Deep NUGP, ε = 200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'Edge Cuts'!$I$68</c:f>
              <c:numCache>
                <c:formatCode>0%</c:formatCode>
                <c:ptCount val="1"/>
                <c:pt idx="0">
                  <c:v>0.7</c:v>
                </c:pt>
              </c:numCache>
            </c:numRef>
          </c:cat>
          <c:val>
            <c:numRef>
              <c:f>'Edge Cuts'!$M$68</c:f>
              <c:numCache>
                <c:formatCode>0%</c:formatCode>
                <c:ptCount val="1"/>
                <c:pt idx="0">
                  <c:v>0.37866912555709237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FF1-4933-A1F2-02FE4A2A580F}"/>
            </c:ext>
          </c:extLst>
        </c:ser>
        <c:ser>
          <c:idx val="4"/>
          <c:order val="4"/>
          <c:tx>
            <c:strRef>
              <c:f>'Edge Cuts'!$N$64</c:f>
              <c:strCache>
                <c:ptCount val="1"/>
                <c:pt idx="0">
                  <c:v>Deep NUGP, ε = 400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'Edge Cuts'!$I$68</c:f>
              <c:numCache>
                <c:formatCode>0%</c:formatCode>
                <c:ptCount val="1"/>
                <c:pt idx="0">
                  <c:v>0.7</c:v>
                </c:pt>
              </c:numCache>
            </c:numRef>
          </c:cat>
          <c:val>
            <c:numRef>
              <c:f>'Edge Cuts'!$N$68</c:f>
              <c:numCache>
                <c:formatCode>0%</c:formatCode>
                <c:ptCount val="1"/>
                <c:pt idx="0">
                  <c:v>0.40018441678192718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BC-4930-A91C-1F7912EEDFE3}"/>
            </c:ext>
          </c:extLst>
        </c:ser>
        <c:ser>
          <c:idx val="5"/>
          <c:order val="5"/>
          <c:tx>
            <c:strRef>
              <c:f>'Edge Cuts'!$O$64</c:f>
              <c:strCache>
                <c:ptCount val="1"/>
                <c:pt idx="0">
                  <c:v>Deep NUGP, ε = 800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'Edge Cuts'!$I$68</c:f>
              <c:numCache>
                <c:formatCode>0%</c:formatCode>
                <c:ptCount val="1"/>
                <c:pt idx="0">
                  <c:v>0.7</c:v>
                </c:pt>
              </c:numCache>
            </c:numRef>
          </c:cat>
          <c:val>
            <c:numRef>
              <c:f>'Edge Cuts'!$O$68</c:f>
              <c:numCache>
                <c:formatCode>0%</c:formatCode>
                <c:ptCount val="1"/>
                <c:pt idx="0">
                  <c:v>0.46334716459197794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BC-4930-A91C-1F7912EEDFE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30200223"/>
        <c:axId val="1092910383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'Edge Cuts'!$K$64</c15:sqref>
                        </c15:formulaRef>
                      </c:ext>
                    </c:extLst>
                    <c:strCache>
                      <c:ptCount val="1"/>
                      <c:pt idx="0">
                        <c:v>KaHIP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'Edge Cuts'!$I$68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'Edge Cuts'!$K$68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FFF1-4933-A1F2-02FE4A2A580F}"/>
                  </c:ext>
                </c:extLst>
              </c15:ser>
            </c15:filteredBarSeries>
          </c:ext>
        </c:extLst>
      </c:barChart>
      <c:catAx>
        <c:axId val="13020022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092910383"/>
        <c:crosses val="autoZero"/>
        <c:auto val="1"/>
        <c:lblAlgn val="ctr"/>
        <c:lblOffset val="100"/>
        <c:noMultiLvlLbl val="1"/>
      </c:catAx>
      <c:valAx>
        <c:axId val="1092910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Percentage of 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00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Observing Edge cut as Epislon varies (PGP graph)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'Edge Cuts'!$D$104</c:f>
              <c:strCache>
                <c:ptCount val="1"/>
                <c:pt idx="0">
                  <c:v>Deep NUGP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EBD-4154-A4C2-00C35791FB9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EBD-4154-A4C2-00C35791FB9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EBD-4154-A4C2-00C35791FB9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EBD-4154-A4C2-00C35791FB9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EBD-4154-A4C2-00C35791FB95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EBD-4154-A4C2-00C35791FB95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EBD-4154-A4C2-00C35791FB95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EBD-4154-A4C2-00C35791FB95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EBD-4154-A4C2-00C35791FB95}"/>
                </c:ext>
              </c:extLst>
            </c:dLbl>
            <c:dLbl>
              <c:idx val="9"/>
              <c:layout>
                <c:manualLayout>
                  <c:x val="-5.4636590946577974E-2"/>
                  <c:y val="-4.2622614372255507E-2"/>
                </c:manualLayout>
              </c:layout>
              <c:tx>
                <c:rich>
                  <a:bodyPr/>
                  <a:lstStyle/>
                  <a:p>
                    <a:fld id="{047ED373-BC25-4CFB-8D99-47DB7B82F861}" type="YVALUE">
                      <a:rPr lang="en-US" sz="1200"/>
                      <a:pPr/>
                      <a:t>[Y VALUE]</a:t>
                    </a:fld>
                    <a:r>
                      <a:rPr lang="en-US" sz="1200"/>
                      <a:t> / Unfeasible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A-4EBD-4154-A4C2-00C35791FB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'Edge Cuts'!$C$105:$C$114</c:f>
              <c:numCache>
                <c:formatCode>General</c:formatCode>
                <c:ptCount val="10"/>
                <c:pt idx="0">
                  <c:v>0</c:v>
                </c:pt>
                <c:pt idx="1">
                  <c:v>191</c:v>
                </c:pt>
                <c:pt idx="2">
                  <c:v>382</c:v>
                </c:pt>
                <c:pt idx="3">
                  <c:v>573</c:v>
                </c:pt>
                <c:pt idx="4">
                  <c:v>764</c:v>
                </c:pt>
                <c:pt idx="5">
                  <c:v>955</c:v>
                </c:pt>
                <c:pt idx="6">
                  <c:v>1146</c:v>
                </c:pt>
                <c:pt idx="7">
                  <c:v>1337</c:v>
                </c:pt>
                <c:pt idx="8">
                  <c:v>1528</c:v>
                </c:pt>
                <c:pt idx="9">
                  <c:v>1719</c:v>
                </c:pt>
              </c:numCache>
            </c:numRef>
          </c:xVal>
          <c:yVal>
            <c:numRef>
              <c:f>'Edge Cuts'!$D$105:$D$114</c:f>
              <c:numCache>
                <c:formatCode>General</c:formatCode>
                <c:ptCount val="10"/>
                <c:pt idx="0">
                  <c:v>917</c:v>
                </c:pt>
                <c:pt idx="1">
                  <c:v>873</c:v>
                </c:pt>
                <c:pt idx="2">
                  <c:v>812</c:v>
                </c:pt>
                <c:pt idx="3">
                  <c:v>736</c:v>
                </c:pt>
                <c:pt idx="4">
                  <c:v>697</c:v>
                </c:pt>
                <c:pt idx="5">
                  <c:v>731</c:v>
                </c:pt>
                <c:pt idx="6">
                  <c:v>766</c:v>
                </c:pt>
                <c:pt idx="7">
                  <c:v>1090</c:v>
                </c:pt>
                <c:pt idx="8">
                  <c:v>1152</c:v>
                </c:pt>
                <c:pt idx="9">
                  <c:v>1428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EBD-4154-A4C2-00C35791FB9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43241631"/>
        <c:axId val="243243551"/>
      </c:scatterChart>
      <c:valAx>
        <c:axId val="243241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Epislon Values (Upper Bound = min(Partition size) - 1)</a:t>
                </a:r>
              </a:p>
            </c:rich>
          </c:tx>
          <c:layout>
            <c:manualLayout>
              <c:xMode val="edge"/>
              <c:yMode val="edge"/>
              <c:x val="0.1818480386764415"/>
              <c:y val="0.892959550136927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243551"/>
        <c:crosses val="autoZero"/>
        <c:crossBetween val="midCat"/>
        <c:majorUnit val="191"/>
      </c:valAx>
      <c:valAx>
        <c:axId val="243243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Edge Cut Values (lower is better)</a:t>
                </a:r>
              </a:p>
            </c:rich>
          </c:tx>
          <c:layout>
            <c:manualLayout>
              <c:xMode val="edge"/>
              <c:yMode val="edge"/>
              <c:x val="1.8537791550562191E-2"/>
              <c:y val="0.134188126900483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2416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Observing CCM as Epislon Varies (PGP Graph)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'Edge Cuts'!$G$104</c:f>
              <c:strCache>
                <c:ptCount val="1"/>
                <c:pt idx="0">
                  <c:v>Deep NUGP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'Edge Cuts'!$F$105:$F$114</c:f>
              <c:numCache>
                <c:formatCode>General</c:formatCode>
                <c:ptCount val="10"/>
                <c:pt idx="0">
                  <c:v>0</c:v>
                </c:pt>
                <c:pt idx="1">
                  <c:v>191</c:v>
                </c:pt>
                <c:pt idx="2">
                  <c:v>382</c:v>
                </c:pt>
                <c:pt idx="3">
                  <c:v>573</c:v>
                </c:pt>
                <c:pt idx="4">
                  <c:v>764</c:v>
                </c:pt>
                <c:pt idx="5">
                  <c:v>955</c:v>
                </c:pt>
                <c:pt idx="6">
                  <c:v>1146</c:v>
                </c:pt>
                <c:pt idx="7">
                  <c:v>1337</c:v>
                </c:pt>
                <c:pt idx="8">
                  <c:v>1528</c:v>
                </c:pt>
                <c:pt idx="9">
                  <c:v>1719</c:v>
                </c:pt>
              </c:numCache>
            </c:numRef>
          </c:xVal>
          <c:yVal>
            <c:numRef>
              <c:f>'Edge Cuts'!$G$105:$G$114</c:f>
              <c:numCache>
                <c:formatCode>0.00%</c:formatCode>
                <c:ptCount val="10"/>
                <c:pt idx="0">
                  <c:v>0</c:v>
                </c:pt>
                <c:pt idx="1">
                  <c:v>3.5799999999999998E-2</c:v>
                </c:pt>
                <c:pt idx="2">
                  <c:v>7.15355805243445E-2</c:v>
                </c:pt>
                <c:pt idx="3">
                  <c:v>0.12191011235955</c:v>
                </c:pt>
                <c:pt idx="4">
                  <c:v>0.143071161048689</c:v>
                </c:pt>
                <c:pt idx="5">
                  <c:v>0.21142322097378199</c:v>
                </c:pt>
                <c:pt idx="6">
                  <c:v>0.42621722846441901</c:v>
                </c:pt>
                <c:pt idx="7">
                  <c:v>0.38876404494382</c:v>
                </c:pt>
                <c:pt idx="8">
                  <c:v>0.41217228464419398</c:v>
                </c:pt>
                <c:pt idx="9">
                  <c:v>0.45850000000000002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BD8-4150-AFF5-3C598360296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156126143"/>
        <c:axId val="1156127103"/>
      </c:scatterChart>
      <c:valAx>
        <c:axId val="1156126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Epislon Values (Upper Bound = min(Partition size) - 1)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127103"/>
        <c:crosses val="autoZero"/>
        <c:crossBetween val="midCat"/>
        <c:majorUnit val="191"/>
      </c:valAx>
      <c:valAx>
        <c:axId val="115612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CCM Values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1261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Runtime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4"/>
          <c:tx>
            <c:strRef>
              <c:f>Runtimes!$F$50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Runtimes!$A$51:$A$54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Runtimes!$F$51:$F$54</c:f>
              <c:numCache>
                <c:formatCode>General</c:formatCode>
                <c:ptCount val="4"/>
                <c:pt idx="0">
                  <c:v>1.6539999999999999</c:v>
                </c:pt>
                <c:pt idx="1">
                  <c:v>1.7768000000000002</c:v>
                </c:pt>
                <c:pt idx="2">
                  <c:v>1.7276</c:v>
                </c:pt>
                <c:pt idx="3">
                  <c:v>1.6152000000000002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CE7-470A-8464-F4BFEB6EF952}"/>
            </c:ext>
          </c:extLst>
        </c:ser>
        <c:ser>
          <c:idx val="5"/>
          <c:order val="5"/>
          <c:tx>
            <c:strRef>
              <c:f>Runtimes!$G$50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Runtimes!$A$51:$A$54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Runtimes!$G$51:$G$54</c:f>
              <c:numCache>
                <c:formatCode>General</c:formatCode>
                <c:ptCount val="4"/>
                <c:pt idx="0">
                  <c:v>0.80980000000000008</c:v>
                </c:pt>
                <c:pt idx="1">
                  <c:v>0.80980000000000008</c:v>
                </c:pt>
                <c:pt idx="2">
                  <c:v>0.80980000000000008</c:v>
                </c:pt>
                <c:pt idx="3">
                  <c:v>0.80980000000000008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CE7-470A-8464-F4BFEB6EF952}"/>
            </c:ext>
          </c:extLst>
        </c:ser>
        <c:ser>
          <c:idx val="6"/>
          <c:order val="6"/>
          <c:tx>
            <c:strRef>
              <c:f>Runtimes!$H$50</c:f>
              <c:strCache>
                <c:ptCount val="1"/>
                <c:pt idx="0">
                  <c:v>Deep Multilevel, ε= 0.0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Runtimes!$A$51:$A$54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Runtimes!$H$51:$H$54</c:f>
              <c:numCache>
                <c:formatCode>General</c:formatCode>
                <c:ptCount val="4"/>
                <c:pt idx="0">
                  <c:v>2.8858000000000006</c:v>
                </c:pt>
                <c:pt idx="1">
                  <c:v>2.605</c:v>
                </c:pt>
                <c:pt idx="2">
                  <c:v>2.5937999999999999</c:v>
                </c:pt>
                <c:pt idx="3">
                  <c:v>3.4652000000000003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487-422B-8EA9-A925442C7771}"/>
            </c:ext>
          </c:extLst>
        </c:ser>
        <c:ser>
          <c:idx val="7"/>
          <c:order val="7"/>
          <c:tx>
            <c:strRef>
              <c:f>Runtimes!$I$50</c:f>
              <c:strCache>
                <c:ptCount val="1"/>
                <c:pt idx="0">
                  <c:v>Deep Multilevel, ε = 0.05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Runtimes!$A$51:$A$54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Runtimes!$I$51:$I$54</c:f>
              <c:numCache>
                <c:formatCode>General</c:formatCode>
                <c:ptCount val="4"/>
                <c:pt idx="0">
                  <c:v>1.7604</c:v>
                </c:pt>
                <c:pt idx="1">
                  <c:v>1.8161999999999998</c:v>
                </c:pt>
                <c:pt idx="2">
                  <c:v>1.7475999999999998</c:v>
                </c:pt>
                <c:pt idx="3">
                  <c:v>1.8439999999999999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487-422B-8EA9-A925442C7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6972575"/>
        <c:axId val="1527654319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Runtimes!$B$50</c15:sqref>
                        </c15:formulaRef>
                      </c:ext>
                    </c:extLst>
                    <c:strCache>
                      <c:ptCount val="1"/>
                      <c:pt idx="0">
                        <c:v>Proposed Model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Runtimes!$A$51:$A$54</c15:sqref>
                        </c15:formulaRef>
                      </c:ext>
                    </c:extLst>
                    <c:numCache>
                      <c:formatCode>0%</c:formatCode>
                      <c:ptCount val="4"/>
                      <c:pt idx="0">
                        <c:v>0.15</c:v>
                      </c:pt>
                      <c:pt idx="1">
                        <c:v>0.35</c:v>
                      </c:pt>
                      <c:pt idx="2">
                        <c:v>0.55000000000000004</c:v>
                      </c:pt>
                      <c:pt idx="3">
                        <c:v>0.7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Runtimes!$B$51:$B$54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316.44279999999998</c:v>
                      </c:pt>
                      <c:pt idx="1">
                        <c:v>118.27259999999998</c:v>
                      </c:pt>
                      <c:pt idx="2">
                        <c:v>55.485599999999998</c:v>
                      </c:pt>
                      <c:pt idx="3">
                        <c:v>34.251999999999995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2CE7-470A-8464-F4BFEB6EF952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Runtimes!$C$50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Refinement 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Runtimes!$A$51:$A$54</c15:sqref>
                        </c15:formulaRef>
                      </c:ext>
                    </c:extLst>
                    <c:numCache>
                      <c:formatCode>0%</c:formatCode>
                      <c:ptCount val="4"/>
                      <c:pt idx="0">
                        <c:v>0.15</c:v>
                      </c:pt>
                      <c:pt idx="1">
                        <c:v>0.35</c:v>
                      </c:pt>
                      <c:pt idx="2">
                        <c:v>0.55000000000000004</c:v>
                      </c:pt>
                      <c:pt idx="3">
                        <c:v>0.7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Runtimes!$C$51:$C$54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286.65620000000001</c:v>
                      </c:pt>
                      <c:pt idx="1">
                        <c:v>141.03640000000001</c:v>
                      </c:pt>
                      <c:pt idx="2">
                        <c:v>58.168799999999997</c:v>
                      </c:pt>
                      <c:pt idx="3">
                        <c:v>33.905799999999999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2CE7-470A-8464-F4BFEB6EF952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Runtimes!$D$50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(Split &amp; Merge)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Runtimes!$A$51:$A$54</c15:sqref>
                        </c15:formulaRef>
                      </c:ext>
                    </c:extLst>
                    <c:numCache>
                      <c:formatCode>0%</c:formatCode>
                      <c:ptCount val="4"/>
                      <c:pt idx="0">
                        <c:v>0.15</c:v>
                      </c:pt>
                      <c:pt idx="1">
                        <c:v>0.35</c:v>
                      </c:pt>
                      <c:pt idx="2">
                        <c:v>0.55000000000000004</c:v>
                      </c:pt>
                      <c:pt idx="3">
                        <c:v>0.7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Runtimes!$D$51:$D$54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8.6183999999999994</c:v>
                      </c:pt>
                      <c:pt idx="1">
                        <c:v>5.8294000000000006</c:v>
                      </c:pt>
                      <c:pt idx="2">
                        <c:v>5.0909999999999993</c:v>
                      </c:pt>
                      <c:pt idx="3">
                        <c:v>3.1929999999999996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CE7-470A-8464-F4BFEB6EF952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Runtimes!$E$50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(Split &amp; Merge) + Refinement 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Runtimes!$A$51:$A$54</c15:sqref>
                        </c15:formulaRef>
                      </c:ext>
                    </c:extLst>
                    <c:numCache>
                      <c:formatCode>0%</c:formatCode>
                      <c:ptCount val="4"/>
                      <c:pt idx="0">
                        <c:v>0.15</c:v>
                      </c:pt>
                      <c:pt idx="1">
                        <c:v>0.35</c:v>
                      </c:pt>
                      <c:pt idx="2">
                        <c:v>0.55000000000000004</c:v>
                      </c:pt>
                      <c:pt idx="3">
                        <c:v>0.7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Runtimes!$E$51:$E$54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1.3320000000000001</c:v>
                      </c:pt>
                      <c:pt idx="1">
                        <c:v>1.4893999999999998</c:v>
                      </c:pt>
                      <c:pt idx="2">
                        <c:v>1.3444</c:v>
                      </c:pt>
                      <c:pt idx="3">
                        <c:v>1.2250000000000001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CE7-470A-8464-F4BFEB6EF952}"/>
                  </c:ext>
                </c:extLst>
              </c15:ser>
            </c15:filteredScatterSeries>
          </c:ext>
        </c:extLst>
      </c:scatterChart>
      <c:valAx>
        <c:axId val="1336972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Precentage of</a:t>
                </a:r>
                <a:r>
                  <a:rPr lang="en-US" sz="1600" baseline="0"/>
                  <a:t> Contraction </a:t>
                </a:r>
                <a:endParaRPr 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654319"/>
        <c:crosses val="autoZero"/>
        <c:crossBetween val="midCat"/>
      </c:valAx>
      <c:valAx>
        <c:axId val="152765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Time in 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9725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0" i="0" u="none" strike="noStrike" baseline="0">
                <a:effectLst/>
              </a:rPr>
              <a:t>Cardinality Compliance Metric (CCM)</a:t>
            </a:r>
            <a:endParaRPr lang="en-US" sz="3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CCM!$B$80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CCM!$A$81:$A$84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CCM!$B$81:$B$84</c:f>
              <c:numCache>
                <c:formatCode>0%</c:formatCode>
                <c:ptCount val="4"/>
                <c:pt idx="0">
                  <c:v>0.27960000000000002</c:v>
                </c:pt>
                <c:pt idx="1">
                  <c:v>0.27060000000000006</c:v>
                </c:pt>
                <c:pt idx="2">
                  <c:v>0.26160000000000005</c:v>
                </c:pt>
                <c:pt idx="3">
                  <c:v>0.26463999999999999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81F-487C-8565-99D35A0A94E1}"/>
            </c:ext>
          </c:extLst>
        </c:ser>
        <c:ser>
          <c:idx val="1"/>
          <c:order val="1"/>
          <c:tx>
            <c:strRef>
              <c:f>CCM!$C$80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CCM!$A$81:$A$84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CCM!$C$81:$C$84</c:f>
              <c:numCache>
                <c:formatCode>0%</c:formatCode>
                <c:ptCount val="4"/>
                <c:pt idx="0">
                  <c:v>0.27698</c:v>
                </c:pt>
                <c:pt idx="1">
                  <c:v>0.27698</c:v>
                </c:pt>
                <c:pt idx="2">
                  <c:v>0.27698</c:v>
                </c:pt>
                <c:pt idx="3">
                  <c:v>0.27698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81F-487C-8565-99D35A0A94E1}"/>
            </c:ext>
          </c:extLst>
        </c:ser>
        <c:ser>
          <c:idx val="2"/>
          <c:order val="2"/>
          <c:tx>
            <c:strRef>
              <c:f>CCM!$D$80</c:f>
              <c:strCache>
                <c:ptCount val="1"/>
                <c:pt idx="0">
                  <c:v>Deep Multilevel, ε= 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CCM!$A$81:$A$84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CCM!$D$81:$D$84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EBD-4280-BDAD-A7263B1D7467}"/>
            </c:ext>
          </c:extLst>
        </c:ser>
        <c:ser>
          <c:idx val="3"/>
          <c:order val="3"/>
          <c:tx>
            <c:strRef>
              <c:f>CCM!$E$80</c:f>
              <c:strCache>
                <c:ptCount val="1"/>
                <c:pt idx="0">
                  <c:v>Deep Multilevel, ε = 5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CCM!$A$81:$A$84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CCM!$E$81:$E$84</c:f>
              <c:numCache>
                <c:formatCode>0%</c:formatCode>
                <c:ptCount val="4"/>
                <c:pt idx="0">
                  <c:v>4.9445999999999997E-2</c:v>
                </c:pt>
                <c:pt idx="1">
                  <c:v>3.5687999999999998E-2</c:v>
                </c:pt>
                <c:pt idx="2">
                  <c:v>4.1377999999999998E-2</c:v>
                </c:pt>
                <c:pt idx="3">
                  <c:v>4.4226000000000001E-2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EBD-4280-BDAD-A7263B1D74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656719"/>
        <c:axId val="1527647119"/>
      </c:scatterChart>
      <c:valAx>
        <c:axId val="1527656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Precentage</a:t>
                </a:r>
                <a:r>
                  <a:rPr lang="en-US" sz="1600" baseline="0"/>
                  <a:t> of Contraction</a:t>
                </a:r>
                <a:endParaRPr 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647119"/>
        <c:crosses val="autoZero"/>
        <c:crossBetween val="midCat"/>
      </c:valAx>
      <c:valAx>
        <c:axId val="1527647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6567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Mean Deviation Percentage from Desired Partition Size</a:t>
            </a:r>
            <a:endParaRPr lang="en-US" sz="20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CCM!$B$91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CCM!$A$92:$A$95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CCM!$B$92:$B$95</c:f>
              <c:numCache>
                <c:formatCode>0.00%</c:formatCode>
                <c:ptCount val="4"/>
                <c:pt idx="0">
                  <c:v>0.30241659999999998</c:v>
                </c:pt>
                <c:pt idx="1">
                  <c:v>0.30241659999999998</c:v>
                </c:pt>
                <c:pt idx="2">
                  <c:v>0.30241659999999998</c:v>
                </c:pt>
                <c:pt idx="3">
                  <c:v>0.30241659999999998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775-48A0-8699-311A601CEFAA}"/>
            </c:ext>
          </c:extLst>
        </c:ser>
        <c:ser>
          <c:idx val="1"/>
          <c:order val="1"/>
          <c:tx>
            <c:strRef>
              <c:f>CCM!$C$91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CCM!$A$92:$A$95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CCM!$C$92:$C$95</c:f>
              <c:numCache>
                <c:formatCode>0.00%</c:formatCode>
                <c:ptCount val="4"/>
                <c:pt idx="0">
                  <c:v>0.29810560000000003</c:v>
                </c:pt>
                <c:pt idx="1">
                  <c:v>0.29363600000000001</c:v>
                </c:pt>
                <c:pt idx="2">
                  <c:v>0.28510000000000002</c:v>
                </c:pt>
                <c:pt idx="3">
                  <c:v>0.28794999999999998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775-48A0-8699-311A601CEFAA}"/>
            </c:ext>
          </c:extLst>
        </c:ser>
        <c:ser>
          <c:idx val="2"/>
          <c:order val="2"/>
          <c:tx>
            <c:strRef>
              <c:f>CCM!$D$91</c:f>
              <c:strCache>
                <c:ptCount val="1"/>
                <c:pt idx="0">
                  <c:v>Deep Multilevel, ε= 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CCM!$A$92:$A$95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CCM!$D$92:$D$95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879-4B6D-90AC-84E5EC421BC4}"/>
            </c:ext>
          </c:extLst>
        </c:ser>
        <c:ser>
          <c:idx val="3"/>
          <c:order val="3"/>
          <c:tx>
            <c:strRef>
              <c:f>CCM!$E$91</c:f>
              <c:strCache>
                <c:ptCount val="1"/>
                <c:pt idx="0">
                  <c:v>Deep Multilevel, ε = 5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CCM!$A$92:$A$95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CCM!$E$92:$E$95</c:f>
              <c:numCache>
                <c:formatCode>0.00%</c:formatCode>
                <c:ptCount val="4"/>
                <c:pt idx="0">
                  <c:v>4.9156239999999997E-2</c:v>
                </c:pt>
                <c:pt idx="1">
                  <c:v>3.7662399999999999E-2</c:v>
                </c:pt>
                <c:pt idx="2">
                  <c:v>3.7662399999999999E-2</c:v>
                </c:pt>
                <c:pt idx="3">
                  <c:v>4.4242400000000001E-2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879-4B6D-90AC-84E5EC421B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6970655"/>
        <c:axId val="1336974015"/>
      </c:scatterChart>
      <c:valAx>
        <c:axId val="1336970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Precentage of Contraction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974015"/>
        <c:crosses val="autoZero"/>
        <c:crossBetween val="midCat"/>
      </c:valAx>
      <c:valAx>
        <c:axId val="1336974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9706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u="none" strike="noStrike" baseline="0">
                <a:effectLst/>
              </a:rPr>
              <a:t>Average Connected Components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4"/>
          <c:order val="4"/>
          <c:tx>
            <c:strRef>
              <c:f>Contiguity!$F$61</c:f>
              <c:strCache>
                <c:ptCount val="1"/>
                <c:pt idx="0">
                  <c:v>KaMinPar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Contiguity!$A$62:$A$65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Contiguity!$F$62:$F$65</c:f>
              <c:numCache>
                <c:formatCode>General</c:formatCode>
                <c:ptCount val="4"/>
                <c:pt idx="0">
                  <c:v>10.6</c:v>
                </c:pt>
                <c:pt idx="1">
                  <c:v>23</c:v>
                </c:pt>
                <c:pt idx="2">
                  <c:v>27.6</c:v>
                </c:pt>
                <c:pt idx="3">
                  <c:v>14.8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567-497E-A0D9-D08E37639B29}"/>
            </c:ext>
          </c:extLst>
        </c:ser>
        <c:ser>
          <c:idx val="5"/>
          <c:order val="5"/>
          <c:tx>
            <c:strRef>
              <c:f>Contiguity!$G$61</c:f>
              <c:strCache>
                <c:ptCount val="1"/>
                <c:pt idx="0">
                  <c:v>KaHIP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Contiguity!$A$62:$A$65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Contiguity!$G$62:$G$65</c:f>
              <c:numCache>
                <c:formatCode>General</c:formatCode>
                <c:ptCount val="4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567-497E-A0D9-D08E37639B29}"/>
            </c:ext>
          </c:extLst>
        </c:ser>
        <c:ser>
          <c:idx val="6"/>
          <c:order val="6"/>
          <c:tx>
            <c:strRef>
              <c:f>Contiguity!$H$61</c:f>
              <c:strCache>
                <c:ptCount val="1"/>
                <c:pt idx="0">
                  <c:v>Deep Multilevel, ε= 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Contiguity!$A$62:$A$65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Contiguity!$H$62:$H$65</c:f>
              <c:numCache>
                <c:formatCode>General</c:formatCode>
                <c:ptCount val="4"/>
                <c:pt idx="0">
                  <c:v>1236.4000000000001</c:v>
                </c:pt>
                <c:pt idx="1">
                  <c:v>929.6</c:v>
                </c:pt>
                <c:pt idx="2">
                  <c:v>950.4</c:v>
                </c:pt>
                <c:pt idx="3">
                  <c:v>129.80000000000001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05B-45ED-8F15-51D7088C7FD4}"/>
            </c:ext>
          </c:extLst>
        </c:ser>
        <c:ser>
          <c:idx val="7"/>
          <c:order val="7"/>
          <c:tx>
            <c:strRef>
              <c:f>Contiguity!$I$61</c:f>
              <c:strCache>
                <c:ptCount val="1"/>
                <c:pt idx="0">
                  <c:v>Deep Multilevel, ε = 5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Contiguity!$A$62:$A$65</c:f>
              <c:numCache>
                <c:formatCode>0%</c:formatCode>
                <c:ptCount val="4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</c:v>
                </c:pt>
              </c:numCache>
            </c:numRef>
          </c:xVal>
          <c:yVal>
            <c:numRef>
              <c:f>Contiguity!$I$62:$I$65</c:f>
              <c:numCache>
                <c:formatCode>General</c:formatCode>
                <c:ptCount val="4"/>
                <c:pt idx="0">
                  <c:v>571.20000000000005</c:v>
                </c:pt>
                <c:pt idx="1">
                  <c:v>808.2</c:v>
                </c:pt>
                <c:pt idx="2">
                  <c:v>433.6</c:v>
                </c:pt>
                <c:pt idx="3">
                  <c:v>368.8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05B-45ED-8F15-51D7088C7F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7717599"/>
        <c:axId val="1147729599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Contiguity!$B$61</c15:sqref>
                        </c15:formulaRef>
                      </c:ext>
                    </c:extLst>
                    <c:strCache>
                      <c:ptCount val="1"/>
                      <c:pt idx="0">
                        <c:v>Proposed Model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Contiguity!$A$62:$A$65</c15:sqref>
                        </c15:formulaRef>
                      </c:ext>
                    </c:extLst>
                    <c:numCache>
                      <c:formatCode>0%</c:formatCode>
                      <c:ptCount val="4"/>
                      <c:pt idx="0">
                        <c:v>0.15</c:v>
                      </c:pt>
                      <c:pt idx="1">
                        <c:v>0.35</c:v>
                      </c:pt>
                      <c:pt idx="2">
                        <c:v>0.55000000000000004</c:v>
                      </c:pt>
                      <c:pt idx="3">
                        <c:v>0.7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Contiguity!$B$62:$B$65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240.6</c:v>
                      </c:pt>
                      <c:pt idx="1">
                        <c:v>457.6</c:v>
                      </c:pt>
                      <c:pt idx="2">
                        <c:v>781.2</c:v>
                      </c:pt>
                      <c:pt idx="3">
                        <c:v>532.6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B567-497E-A0D9-D08E37639B29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Contiguity!$C$61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Refinement 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Contiguity!$A$62:$A$65</c15:sqref>
                        </c15:formulaRef>
                      </c:ext>
                    </c:extLst>
                    <c:numCache>
                      <c:formatCode>0%</c:formatCode>
                      <c:ptCount val="4"/>
                      <c:pt idx="0">
                        <c:v>0.15</c:v>
                      </c:pt>
                      <c:pt idx="1">
                        <c:v>0.35</c:v>
                      </c:pt>
                      <c:pt idx="2">
                        <c:v>0.55000000000000004</c:v>
                      </c:pt>
                      <c:pt idx="3">
                        <c:v>0.7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Contiguity!$C$62:$C$65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170.6</c:v>
                      </c:pt>
                      <c:pt idx="1">
                        <c:v>295.8</c:v>
                      </c:pt>
                      <c:pt idx="2">
                        <c:v>450.2</c:v>
                      </c:pt>
                      <c:pt idx="3">
                        <c:v>327.8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B567-497E-A0D9-D08E37639B29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Contiguity!$D$61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(Split &amp; Merge)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Contiguity!$A$62:$A$65</c15:sqref>
                        </c15:formulaRef>
                      </c:ext>
                    </c:extLst>
                    <c:numCache>
                      <c:formatCode>0%</c:formatCode>
                      <c:ptCount val="4"/>
                      <c:pt idx="0">
                        <c:v>0.15</c:v>
                      </c:pt>
                      <c:pt idx="1">
                        <c:v>0.35</c:v>
                      </c:pt>
                      <c:pt idx="2">
                        <c:v>0.55000000000000004</c:v>
                      </c:pt>
                      <c:pt idx="3">
                        <c:v>0.7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Contiguity!$D$62:$D$65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1856</c:v>
                      </c:pt>
                      <c:pt idx="1">
                        <c:v>2536</c:v>
                      </c:pt>
                      <c:pt idx="2">
                        <c:v>3282.4</c:v>
                      </c:pt>
                      <c:pt idx="3">
                        <c:v>1606.8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567-497E-A0D9-D08E37639B29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Contiguity!$E$61</c15:sqref>
                        </c15:formulaRef>
                      </c:ext>
                    </c:extLst>
                    <c:strCache>
                      <c:ptCount val="1"/>
                      <c:pt idx="0">
                        <c:v>Proposed Model without (Split &amp; Merge) + Refinement 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Contiguity!$A$62:$A$65</c15:sqref>
                        </c15:formulaRef>
                      </c:ext>
                    </c:extLst>
                    <c:numCache>
                      <c:formatCode>0%</c:formatCode>
                      <c:ptCount val="4"/>
                      <c:pt idx="0">
                        <c:v>0.15</c:v>
                      </c:pt>
                      <c:pt idx="1">
                        <c:v>0.35</c:v>
                      </c:pt>
                      <c:pt idx="2">
                        <c:v>0.55000000000000004</c:v>
                      </c:pt>
                      <c:pt idx="3">
                        <c:v>0.7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Contiguity!$E$62:$E$65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1660</c:v>
                      </c:pt>
                      <c:pt idx="1">
                        <c:v>1483.6</c:v>
                      </c:pt>
                      <c:pt idx="2">
                        <c:v>1511.2</c:v>
                      </c:pt>
                      <c:pt idx="3">
                        <c:v>1030.2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567-497E-A0D9-D08E37639B29}"/>
                  </c:ext>
                </c:extLst>
              </c15:ser>
            </c15:filteredScatterSeries>
          </c:ext>
        </c:extLst>
      </c:scatterChart>
      <c:valAx>
        <c:axId val="1147717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Precentage of Contraction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729599"/>
        <c:crosses val="autoZero"/>
        <c:crossBetween val="midCat"/>
      </c:valAx>
      <c:valAx>
        <c:axId val="1147729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7175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843642</xdr:colOff>
      <xdr:row>60</xdr:row>
      <xdr:rowOff>42862</xdr:rowOff>
    </xdr:from>
    <xdr:to>
      <xdr:col>7</xdr:col>
      <xdr:colOff>54428</xdr:colOff>
      <xdr:row>83</xdr:row>
      <xdr:rowOff>40822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6CB5DF-53E0-3607-EF26-9CD0D862CB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610719</xdr:colOff>
      <xdr:row>74</xdr:row>
      <xdr:rowOff>124383</xdr:rowOff>
    </xdr:from>
    <xdr:to>
      <xdr:col>15</xdr:col>
      <xdr:colOff>291353</xdr:colOff>
      <xdr:row>101</xdr:row>
      <xdr:rowOff>134470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B6A898-6F7B-3859-D15D-AE9DC1F370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778807</xdr:colOff>
      <xdr:row>119</xdr:row>
      <xdr:rowOff>101971</xdr:rowOff>
    </xdr:from>
    <xdr:to>
      <xdr:col>5</xdr:col>
      <xdr:colOff>291352</xdr:colOff>
      <xdr:row>141</xdr:row>
      <xdr:rowOff>179292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74ABBA1-52F0-6F61-97E1-BB58FBAAD1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605116</xdr:colOff>
      <xdr:row>119</xdr:row>
      <xdr:rowOff>113178</xdr:rowOff>
    </xdr:from>
    <xdr:to>
      <xdr:col>12</xdr:col>
      <xdr:colOff>291351</xdr:colOff>
      <xdr:row>141</xdr:row>
      <xdr:rowOff>179293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EE49C95-DE34-BAB4-5135-689DFAB474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1419225</xdr:colOff>
      <xdr:row>55</xdr:row>
      <xdr:rowOff>152400</xdr:rowOff>
    </xdr:from>
    <xdr:to>
      <xdr:col>17</xdr:col>
      <xdr:colOff>351573</xdr:colOff>
      <xdr:row>78</xdr:row>
      <xdr:rowOff>170900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0A51BB-F154-B292-F0B5-A6DA83180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01125" y="13487400"/>
          <a:ext cx="6819048" cy="4400000"/>
        </a:xfrm>
        <a:prstGeom prst="rect">
          <a:avLst/>
        </a:prstGeom>
      </xdr:spPr>
    </xdr:pic>
    <xdr:clientData/>
  </xdr:twoCellAnchor>
  <xdr:twoCellAnchor>
    <xdr:from>
      <xdr:col>1</xdr:col>
      <xdr:colOff>711013</xdr:colOff>
      <xdr:row>55</xdr:row>
      <xdr:rowOff>119062</xdr:rowOff>
    </xdr:from>
    <xdr:to>
      <xdr:col>7</xdr:col>
      <xdr:colOff>493059</xdr:colOff>
      <xdr:row>78</xdr:row>
      <xdr:rowOff>112059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F52BC2-7DD7-2B69-D233-DA288C61CF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326090</xdr:colOff>
      <xdr:row>98</xdr:row>
      <xdr:rowOff>51825</xdr:rowOff>
    </xdr:from>
    <xdr:to>
      <xdr:col>18</xdr:col>
      <xdr:colOff>112060</xdr:colOff>
      <xdr:row>121</xdr:row>
      <xdr:rowOff>78441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E84BC0A-2651-0D15-3AAA-FCFBFA4C0A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44824</xdr:colOff>
      <xdr:row>99</xdr:row>
      <xdr:rowOff>2521</xdr:rowOff>
    </xdr:from>
    <xdr:to>
      <xdr:col>5</xdr:col>
      <xdr:colOff>67237</xdr:colOff>
      <xdr:row>122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256A5BF-81AC-0549-F038-1950DB1566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919843</xdr:colOff>
      <xdr:row>67</xdr:row>
      <xdr:rowOff>148997</xdr:rowOff>
    </xdr:from>
    <xdr:to>
      <xdr:col>8</xdr:col>
      <xdr:colOff>1524000</xdr:colOff>
      <xdr:row>90</xdr:row>
      <xdr:rowOff>176892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7166DF-97E8-2296-1035-0731D37276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4"/>
  <sheetViews>
    <sheetView tabSelected="1" topLeftCell="A111" zoomScale="85" zoomScaleNormal="85" workbookViewId="0">
      <selection activeCell="H151" sqref="H151"/>
    </sheetView>
  </sheetViews>
  <sheetFormatPr defaultRowHeight="15" x14ac:dyDescent="0.25"/>
  <cols>
    <col min="1" max="1" width="13.5703125" bestFit="1" customWidth="1"/>
    <col min="2" max="2" width="24.28515625" bestFit="1" customWidth="1"/>
    <col min="3" max="3" width="22.140625" bestFit="1" customWidth="1"/>
    <col min="4" max="4" width="38.28515625" bestFit="1" customWidth="1"/>
    <col min="5" max="5" width="35.42578125" bestFit="1" customWidth="1"/>
    <col min="8" max="8" width="21.85546875" bestFit="1" customWidth="1"/>
    <col min="9" max="9" width="23.28515625" bestFit="1" customWidth="1"/>
    <col min="10" max="11" width="22.7109375" bestFit="1" customWidth="1"/>
  </cols>
  <sheetData>
    <row r="1" spans="1:9" x14ac:dyDescent="0.25">
      <c r="C1" t="s">
        <v>4</v>
      </c>
      <c r="D1" s="9" t="s">
        <v>23</v>
      </c>
    </row>
    <row r="2" spans="1:9" x14ac:dyDescent="0.25">
      <c r="A2" s="20" t="s">
        <v>17</v>
      </c>
      <c r="B2" s="20"/>
      <c r="C2" s="20"/>
      <c r="D2" s="20"/>
      <c r="E2" s="20"/>
      <c r="F2" s="20"/>
      <c r="G2" s="20"/>
    </row>
    <row r="3" spans="1:9" x14ac:dyDescent="0.25">
      <c r="A3" s="21" t="s">
        <v>5</v>
      </c>
      <c r="B3" s="21"/>
      <c r="C3" s="21"/>
      <c r="D3" s="21"/>
      <c r="E3" s="21"/>
      <c r="F3" s="21"/>
      <c r="G3" s="21"/>
    </row>
    <row r="4" spans="1:9" ht="30" x14ac:dyDescent="0.25">
      <c r="A4" s="3"/>
      <c r="B4" s="1" t="s">
        <v>6</v>
      </c>
      <c r="C4" s="4" t="s">
        <v>7</v>
      </c>
      <c r="D4" s="1" t="s">
        <v>8</v>
      </c>
      <c r="E4" s="4" t="s">
        <v>9</v>
      </c>
      <c r="F4" s="1" t="s">
        <v>1</v>
      </c>
      <c r="G4" s="1" t="s">
        <v>0</v>
      </c>
      <c r="H4" s="10" t="s">
        <v>24</v>
      </c>
      <c r="I4" s="11" t="s">
        <v>25</v>
      </c>
    </row>
    <row r="5" spans="1:9" x14ac:dyDescent="0.25">
      <c r="A5" s="1" t="s">
        <v>10</v>
      </c>
      <c r="B5">
        <v>4522</v>
      </c>
      <c r="C5">
        <v>5390</v>
      </c>
      <c r="D5">
        <v>7839</v>
      </c>
      <c r="E5">
        <v>8018</v>
      </c>
      <c r="F5">
        <v>768</v>
      </c>
      <c r="G5">
        <v>1271</v>
      </c>
      <c r="H5">
        <v>2227</v>
      </c>
      <c r="I5">
        <v>1273</v>
      </c>
    </row>
    <row r="6" spans="1:9" x14ac:dyDescent="0.25">
      <c r="A6" s="1" t="s">
        <v>11</v>
      </c>
      <c r="B6">
        <v>4499</v>
      </c>
      <c r="C6">
        <v>5582</v>
      </c>
      <c r="D6">
        <v>8139</v>
      </c>
      <c r="E6">
        <v>8283</v>
      </c>
      <c r="F6">
        <v>745</v>
      </c>
      <c r="G6">
        <v>1376</v>
      </c>
      <c r="H6">
        <v>2529</v>
      </c>
      <c r="I6">
        <v>1419</v>
      </c>
    </row>
    <row r="7" spans="1:9" x14ac:dyDescent="0.25">
      <c r="A7" s="1" t="s">
        <v>12</v>
      </c>
      <c r="B7">
        <v>4543</v>
      </c>
      <c r="C7">
        <v>4219</v>
      </c>
      <c r="D7">
        <v>7879</v>
      </c>
      <c r="E7">
        <v>7693</v>
      </c>
      <c r="F7">
        <v>769</v>
      </c>
      <c r="G7">
        <v>1302</v>
      </c>
      <c r="H7">
        <v>2924</v>
      </c>
      <c r="I7">
        <v>1409</v>
      </c>
    </row>
    <row r="8" spans="1:9" x14ac:dyDescent="0.25">
      <c r="A8" s="1" t="s">
        <v>13</v>
      </c>
      <c r="B8">
        <v>3970</v>
      </c>
      <c r="C8">
        <v>5668</v>
      </c>
      <c r="D8">
        <v>8268</v>
      </c>
      <c r="E8">
        <v>7194</v>
      </c>
      <c r="F8">
        <v>767</v>
      </c>
      <c r="G8">
        <v>1273</v>
      </c>
      <c r="H8">
        <v>2831</v>
      </c>
      <c r="I8">
        <v>1228</v>
      </c>
    </row>
    <row r="9" spans="1:9" x14ac:dyDescent="0.25">
      <c r="A9" s="1" t="s">
        <v>14</v>
      </c>
      <c r="B9">
        <v>5796</v>
      </c>
      <c r="C9">
        <v>4497</v>
      </c>
      <c r="D9">
        <v>8491</v>
      </c>
      <c r="E9">
        <v>7985</v>
      </c>
      <c r="F9">
        <v>734</v>
      </c>
      <c r="G9">
        <v>1285</v>
      </c>
      <c r="H9">
        <v>2792</v>
      </c>
      <c r="I9">
        <v>1395</v>
      </c>
    </row>
    <row r="14" spans="1:9" x14ac:dyDescent="0.25">
      <c r="C14" t="s">
        <v>4</v>
      </c>
    </row>
    <row r="15" spans="1:9" x14ac:dyDescent="0.25">
      <c r="A15" s="20" t="s">
        <v>18</v>
      </c>
      <c r="B15" s="20"/>
      <c r="C15" s="20"/>
      <c r="D15" s="20"/>
      <c r="E15" s="20"/>
      <c r="F15" s="20"/>
      <c r="G15" s="20"/>
    </row>
    <row r="16" spans="1:9" x14ac:dyDescent="0.25">
      <c r="A16" s="22" t="s">
        <v>5</v>
      </c>
      <c r="B16" s="22"/>
      <c r="C16" s="22"/>
      <c r="D16" s="22"/>
      <c r="E16" s="22"/>
      <c r="F16" s="22"/>
      <c r="G16" s="22"/>
    </row>
    <row r="17" spans="1:9" ht="30" x14ac:dyDescent="0.25">
      <c r="A17" s="3"/>
      <c r="B17" s="1" t="s">
        <v>6</v>
      </c>
      <c r="C17" s="4" t="s">
        <v>7</v>
      </c>
      <c r="D17" s="1" t="s">
        <v>8</v>
      </c>
      <c r="E17" s="4" t="s">
        <v>9</v>
      </c>
      <c r="F17" s="1" t="s">
        <v>1</v>
      </c>
      <c r="G17" s="1" t="s">
        <v>0</v>
      </c>
      <c r="H17" s="10" t="s">
        <v>24</v>
      </c>
      <c r="I17" s="11" t="s">
        <v>25</v>
      </c>
    </row>
    <row r="18" spans="1:9" x14ac:dyDescent="0.25">
      <c r="A18" s="1" t="s">
        <v>10</v>
      </c>
      <c r="B18">
        <v>4160</v>
      </c>
      <c r="C18">
        <v>5060</v>
      </c>
      <c r="D18">
        <v>9418</v>
      </c>
      <c r="E18">
        <v>7138</v>
      </c>
      <c r="F18">
        <v>733</v>
      </c>
      <c r="G18">
        <v>1271</v>
      </c>
      <c r="H18">
        <v>870</v>
      </c>
      <c r="I18">
        <v>2384</v>
      </c>
    </row>
    <row r="19" spans="1:9" x14ac:dyDescent="0.25">
      <c r="A19" s="1" t="s">
        <v>11</v>
      </c>
      <c r="B19">
        <v>5273</v>
      </c>
      <c r="C19">
        <v>6060</v>
      </c>
      <c r="D19">
        <v>10084</v>
      </c>
      <c r="E19">
        <v>7670</v>
      </c>
      <c r="F19">
        <v>735</v>
      </c>
      <c r="G19">
        <v>1376</v>
      </c>
      <c r="H19">
        <v>2712</v>
      </c>
      <c r="I19">
        <v>1724</v>
      </c>
    </row>
    <row r="20" spans="1:9" x14ac:dyDescent="0.25">
      <c r="A20" s="1" t="s">
        <v>12</v>
      </c>
      <c r="B20">
        <v>5697</v>
      </c>
      <c r="C20">
        <v>4878</v>
      </c>
      <c r="D20">
        <v>8917</v>
      </c>
      <c r="E20">
        <v>7283</v>
      </c>
      <c r="F20">
        <v>770</v>
      </c>
      <c r="G20">
        <v>1302</v>
      </c>
      <c r="H20">
        <v>2240</v>
      </c>
      <c r="I20">
        <v>1481</v>
      </c>
    </row>
    <row r="21" spans="1:9" x14ac:dyDescent="0.25">
      <c r="A21" s="1" t="s">
        <v>13</v>
      </c>
      <c r="B21">
        <v>4591</v>
      </c>
      <c r="C21">
        <v>5554</v>
      </c>
      <c r="D21">
        <v>7108</v>
      </c>
      <c r="E21">
        <v>7162</v>
      </c>
      <c r="F21">
        <v>718</v>
      </c>
      <c r="G21">
        <v>1273</v>
      </c>
      <c r="H21">
        <v>2181</v>
      </c>
      <c r="I21">
        <v>1365</v>
      </c>
    </row>
    <row r="22" spans="1:9" x14ac:dyDescent="0.25">
      <c r="A22" s="1" t="s">
        <v>14</v>
      </c>
      <c r="B22">
        <v>5500</v>
      </c>
      <c r="C22">
        <v>4845</v>
      </c>
      <c r="D22">
        <v>8077</v>
      </c>
      <c r="E22">
        <v>6899</v>
      </c>
      <c r="F22">
        <v>731</v>
      </c>
      <c r="G22">
        <v>1285</v>
      </c>
      <c r="H22">
        <v>2166</v>
      </c>
      <c r="I22">
        <v>1787</v>
      </c>
    </row>
    <row r="27" spans="1:9" x14ac:dyDescent="0.25">
      <c r="C27" t="s">
        <v>4</v>
      </c>
    </row>
    <row r="28" spans="1:9" x14ac:dyDescent="0.25">
      <c r="A28" s="20" t="s">
        <v>19</v>
      </c>
      <c r="B28" s="20"/>
      <c r="C28" s="20"/>
      <c r="D28" s="20"/>
      <c r="E28" s="20"/>
      <c r="F28" s="20"/>
      <c r="G28" s="20"/>
    </row>
    <row r="29" spans="1:9" x14ac:dyDescent="0.25">
      <c r="A29" s="21" t="s">
        <v>5</v>
      </c>
      <c r="B29" s="21"/>
      <c r="C29" s="21"/>
      <c r="D29" s="21"/>
      <c r="E29" s="21"/>
      <c r="F29" s="21"/>
      <c r="G29" s="21"/>
    </row>
    <row r="30" spans="1:9" ht="30" x14ac:dyDescent="0.25">
      <c r="A30" s="3"/>
      <c r="B30" s="1" t="s">
        <v>6</v>
      </c>
      <c r="C30" s="4" t="s">
        <v>7</v>
      </c>
      <c r="D30" s="1" t="s">
        <v>8</v>
      </c>
      <c r="E30" s="4" t="s">
        <v>9</v>
      </c>
      <c r="F30" s="1" t="s">
        <v>1</v>
      </c>
      <c r="G30" s="1" t="s">
        <v>0</v>
      </c>
      <c r="H30" s="10" t="s">
        <v>24</v>
      </c>
      <c r="I30" s="11" t="s">
        <v>25</v>
      </c>
    </row>
    <row r="31" spans="1:9" x14ac:dyDescent="0.25">
      <c r="A31" s="1" t="s">
        <v>10</v>
      </c>
      <c r="B31">
        <v>4333</v>
      </c>
      <c r="C31">
        <v>3852</v>
      </c>
      <c r="D31">
        <v>7423</v>
      </c>
      <c r="E31">
        <v>5624</v>
      </c>
      <c r="F31">
        <v>800</v>
      </c>
      <c r="G31">
        <v>1271</v>
      </c>
      <c r="H31">
        <v>1902</v>
      </c>
      <c r="I31">
        <v>1162</v>
      </c>
    </row>
    <row r="32" spans="1:9" x14ac:dyDescent="0.25">
      <c r="A32" s="1" t="s">
        <v>11</v>
      </c>
      <c r="B32">
        <v>4412</v>
      </c>
      <c r="C32">
        <v>4168</v>
      </c>
      <c r="D32">
        <v>9731</v>
      </c>
      <c r="E32">
        <v>5460</v>
      </c>
      <c r="F32">
        <v>776</v>
      </c>
      <c r="G32">
        <v>1376</v>
      </c>
      <c r="H32">
        <v>2352</v>
      </c>
      <c r="I32">
        <v>1153</v>
      </c>
    </row>
    <row r="33" spans="1:11" x14ac:dyDescent="0.25">
      <c r="A33" s="1" t="s">
        <v>12</v>
      </c>
      <c r="B33">
        <v>4332</v>
      </c>
      <c r="C33">
        <v>4000</v>
      </c>
      <c r="D33">
        <v>7030</v>
      </c>
      <c r="E33">
        <v>4976</v>
      </c>
      <c r="F33">
        <v>743</v>
      </c>
      <c r="G33">
        <v>1302</v>
      </c>
      <c r="H33">
        <v>2351</v>
      </c>
      <c r="I33">
        <v>1572</v>
      </c>
    </row>
    <row r="34" spans="1:11" x14ac:dyDescent="0.25">
      <c r="A34" s="1" t="s">
        <v>13</v>
      </c>
      <c r="B34">
        <v>3837</v>
      </c>
      <c r="C34">
        <v>3471</v>
      </c>
      <c r="D34">
        <v>7643</v>
      </c>
      <c r="E34">
        <v>4358</v>
      </c>
      <c r="F34">
        <v>836</v>
      </c>
      <c r="G34">
        <v>1273</v>
      </c>
      <c r="H34">
        <v>2496</v>
      </c>
      <c r="I34">
        <v>1564</v>
      </c>
    </row>
    <row r="35" spans="1:11" x14ac:dyDescent="0.25">
      <c r="A35" s="1" t="s">
        <v>14</v>
      </c>
      <c r="B35">
        <v>4442</v>
      </c>
      <c r="C35">
        <v>4475</v>
      </c>
      <c r="D35">
        <v>8322</v>
      </c>
      <c r="E35">
        <v>5064</v>
      </c>
      <c r="F35">
        <v>735</v>
      </c>
      <c r="G35">
        <v>1285</v>
      </c>
      <c r="H35">
        <v>2241</v>
      </c>
      <c r="I35">
        <v>955</v>
      </c>
    </row>
    <row r="40" spans="1:11" x14ac:dyDescent="0.25">
      <c r="C40" t="s">
        <v>4</v>
      </c>
    </row>
    <row r="41" spans="1:11" x14ac:dyDescent="0.25">
      <c r="A41" s="20" t="s">
        <v>28</v>
      </c>
      <c r="B41" s="20"/>
      <c r="C41" s="20"/>
      <c r="D41" s="20"/>
      <c r="E41" s="20"/>
      <c r="F41" s="20"/>
      <c r="G41" s="20"/>
    </row>
    <row r="42" spans="1:11" x14ac:dyDescent="0.25">
      <c r="A42" s="21" t="s">
        <v>5</v>
      </c>
      <c r="B42" s="21"/>
      <c r="C42" s="21"/>
      <c r="D42" s="21"/>
      <c r="E42" s="21"/>
      <c r="F42" s="21"/>
      <c r="G42" s="21"/>
    </row>
    <row r="43" spans="1:11" ht="30" x14ac:dyDescent="0.25">
      <c r="A43" s="3"/>
      <c r="B43" s="1" t="s">
        <v>6</v>
      </c>
      <c r="C43" s="4" t="s">
        <v>7</v>
      </c>
      <c r="D43" s="1" t="s">
        <v>8</v>
      </c>
      <c r="E43" s="4" t="s">
        <v>9</v>
      </c>
      <c r="F43" s="1" t="s">
        <v>1</v>
      </c>
      <c r="G43" s="1" t="s">
        <v>0</v>
      </c>
      <c r="H43" s="10" t="s">
        <v>24</v>
      </c>
      <c r="I43" s="11" t="s">
        <v>29</v>
      </c>
      <c r="J43" s="11" t="s">
        <v>30</v>
      </c>
      <c r="K43" s="11" t="s">
        <v>31</v>
      </c>
    </row>
    <row r="44" spans="1:11" x14ac:dyDescent="0.25">
      <c r="A44" s="1" t="s">
        <v>10</v>
      </c>
      <c r="B44">
        <v>2843</v>
      </c>
      <c r="C44">
        <v>3376</v>
      </c>
      <c r="D44">
        <v>5098</v>
      </c>
      <c r="E44">
        <v>4963</v>
      </c>
      <c r="F44">
        <v>718</v>
      </c>
      <c r="G44">
        <v>1271</v>
      </c>
      <c r="H44">
        <v>821</v>
      </c>
      <c r="I44">
        <v>780</v>
      </c>
      <c r="J44">
        <v>804</v>
      </c>
      <c r="K44">
        <v>635</v>
      </c>
    </row>
    <row r="45" spans="1:11" x14ac:dyDescent="0.25">
      <c r="A45" s="1" t="s">
        <v>11</v>
      </c>
      <c r="B45">
        <v>3823</v>
      </c>
      <c r="C45">
        <v>4008</v>
      </c>
      <c r="D45">
        <v>5755</v>
      </c>
      <c r="E45">
        <v>4030</v>
      </c>
      <c r="F45">
        <v>797</v>
      </c>
      <c r="G45">
        <v>1376</v>
      </c>
      <c r="H45">
        <v>932</v>
      </c>
      <c r="I45">
        <v>810</v>
      </c>
      <c r="J45">
        <v>731</v>
      </c>
      <c r="K45">
        <v>846</v>
      </c>
    </row>
    <row r="46" spans="1:11" x14ac:dyDescent="0.25">
      <c r="A46" s="1" t="s">
        <v>12</v>
      </c>
      <c r="B46">
        <v>3154</v>
      </c>
      <c r="C46">
        <v>3502</v>
      </c>
      <c r="D46">
        <v>6740</v>
      </c>
      <c r="E46">
        <v>4627</v>
      </c>
      <c r="F46">
        <v>741</v>
      </c>
      <c r="G46">
        <v>1302</v>
      </c>
      <c r="H46">
        <v>869</v>
      </c>
      <c r="I46">
        <v>801</v>
      </c>
      <c r="J46">
        <v>854</v>
      </c>
      <c r="K46">
        <v>674</v>
      </c>
    </row>
    <row r="47" spans="1:11" x14ac:dyDescent="0.25">
      <c r="A47" s="1" t="s">
        <v>13</v>
      </c>
      <c r="B47">
        <v>4108</v>
      </c>
      <c r="C47">
        <v>3575</v>
      </c>
      <c r="D47">
        <v>5399</v>
      </c>
      <c r="E47">
        <v>4130</v>
      </c>
      <c r="F47">
        <v>780</v>
      </c>
      <c r="G47">
        <v>1273</v>
      </c>
      <c r="H47">
        <v>803</v>
      </c>
      <c r="I47">
        <v>766</v>
      </c>
      <c r="J47">
        <v>711</v>
      </c>
      <c r="K47">
        <v>569</v>
      </c>
    </row>
    <row r="48" spans="1:11" x14ac:dyDescent="0.25">
      <c r="A48" s="1" t="s">
        <v>14</v>
      </c>
      <c r="B48">
        <v>3093</v>
      </c>
      <c r="C48">
        <v>3931</v>
      </c>
      <c r="D48">
        <v>4502</v>
      </c>
      <c r="E48">
        <v>4845</v>
      </c>
      <c r="F48">
        <v>770</v>
      </c>
      <c r="G48">
        <v>1285</v>
      </c>
      <c r="H48">
        <v>702</v>
      </c>
      <c r="I48">
        <v>886</v>
      </c>
      <c r="J48">
        <v>803</v>
      </c>
      <c r="K48">
        <v>768</v>
      </c>
    </row>
    <row r="52" spans="1:15" x14ac:dyDescent="0.25">
      <c r="A52" s="19" t="s">
        <v>21</v>
      </c>
      <c r="B52" s="19"/>
      <c r="C52" s="19"/>
      <c r="D52" s="19"/>
      <c r="E52" s="19"/>
      <c r="F52" s="19"/>
      <c r="G52" s="19"/>
    </row>
    <row r="53" spans="1:15" ht="30" x14ac:dyDescent="0.25">
      <c r="A53" s="3"/>
      <c r="B53" s="1" t="s">
        <v>6</v>
      </c>
      <c r="C53" s="4" t="s">
        <v>7</v>
      </c>
      <c r="D53" s="1" t="s">
        <v>8</v>
      </c>
      <c r="E53" s="4" t="s">
        <v>9</v>
      </c>
      <c r="F53" s="1" t="s">
        <v>1</v>
      </c>
      <c r="G53" s="1" t="s">
        <v>0</v>
      </c>
      <c r="H53" s="10" t="s">
        <v>24</v>
      </c>
      <c r="I53" s="11" t="s">
        <v>29</v>
      </c>
      <c r="J53" s="11" t="s">
        <v>30</v>
      </c>
      <c r="K53" s="11" t="s">
        <v>31</v>
      </c>
    </row>
    <row r="54" spans="1:15" x14ac:dyDescent="0.25">
      <c r="A54" s="7">
        <v>0.15</v>
      </c>
      <c r="B54">
        <f>AVERAGE(B5:B9)</f>
        <v>4666</v>
      </c>
      <c r="C54">
        <f t="shared" ref="C54:G54" si="0">AVERAGE(C5:C9)</f>
        <v>5071.2</v>
      </c>
      <c r="D54">
        <f t="shared" si="0"/>
        <v>8123.2</v>
      </c>
      <c r="E54">
        <f t="shared" si="0"/>
        <v>7834.6</v>
      </c>
      <c r="F54">
        <f t="shared" si="0"/>
        <v>756.6</v>
      </c>
      <c r="G54">
        <f t="shared" si="0"/>
        <v>1301.4000000000001</v>
      </c>
      <c r="H54">
        <f>AVERAGE(H5:H9)</f>
        <v>2660.6</v>
      </c>
      <c r="I54">
        <f>AVERAGE(I5:I9)</f>
        <v>1344.8</v>
      </c>
    </row>
    <row r="55" spans="1:15" x14ac:dyDescent="0.25">
      <c r="A55" s="8">
        <v>0.35</v>
      </c>
      <c r="B55">
        <f t="shared" ref="B55:G55" si="1">AVERAGE(B18:B22)</f>
        <v>5044.2</v>
      </c>
      <c r="C55">
        <f t="shared" si="1"/>
        <v>5279.4</v>
      </c>
      <c r="D55">
        <f t="shared" si="1"/>
        <v>8720.7999999999993</v>
      </c>
      <c r="E55">
        <f t="shared" si="1"/>
        <v>7230.4</v>
      </c>
      <c r="F55">
        <f t="shared" si="1"/>
        <v>737.4</v>
      </c>
      <c r="G55">
        <f t="shared" si="1"/>
        <v>1301.4000000000001</v>
      </c>
      <c r="H55">
        <f>AVERAGE(H18:H22)</f>
        <v>2033.8</v>
      </c>
      <c r="I55">
        <f>AVERAGE(I18:I22)</f>
        <v>1748.2</v>
      </c>
    </row>
    <row r="56" spans="1:15" x14ac:dyDescent="0.25">
      <c r="A56" s="8">
        <v>0.55000000000000004</v>
      </c>
      <c r="B56">
        <f t="shared" ref="B56:G56" si="2">AVERAGE(B31:B35)</f>
        <v>4271.2</v>
      </c>
      <c r="C56">
        <f t="shared" si="2"/>
        <v>3993.2</v>
      </c>
      <c r="D56">
        <f t="shared" si="2"/>
        <v>8029.8</v>
      </c>
      <c r="E56">
        <f t="shared" si="2"/>
        <v>5096.3999999999996</v>
      </c>
      <c r="F56">
        <f t="shared" si="2"/>
        <v>778</v>
      </c>
      <c r="G56">
        <f t="shared" si="2"/>
        <v>1301.4000000000001</v>
      </c>
      <c r="H56">
        <f>AVERAGE(H31:H35)</f>
        <v>2268.4</v>
      </c>
      <c r="I56">
        <f>AVERAGE(I31:I35)</f>
        <v>1281.2</v>
      </c>
    </row>
    <row r="57" spans="1:15" x14ac:dyDescent="0.25">
      <c r="A57" s="8">
        <v>0.7</v>
      </c>
      <c r="B57">
        <f t="shared" ref="B57:G57" si="3">AVERAGE(B44:B48)</f>
        <v>3404.2</v>
      </c>
      <c r="C57">
        <f t="shared" si="3"/>
        <v>3678.4</v>
      </c>
      <c r="D57">
        <f t="shared" si="3"/>
        <v>5498.8</v>
      </c>
      <c r="E57">
        <f t="shared" si="3"/>
        <v>4519</v>
      </c>
      <c r="F57">
        <f t="shared" si="3"/>
        <v>761.2</v>
      </c>
      <c r="G57">
        <f t="shared" si="3"/>
        <v>1301.4000000000001</v>
      </c>
      <c r="H57">
        <f>AVERAGE(H44:H48)</f>
        <v>825.4</v>
      </c>
      <c r="I57">
        <f>AVERAGE(I44:I48)</f>
        <v>808.6</v>
      </c>
      <c r="J57">
        <f>AVERAGE(J44:J48)</f>
        <v>780.6</v>
      </c>
      <c r="K57">
        <f>AVERAGE(K44:K48)</f>
        <v>698.4</v>
      </c>
    </row>
    <row r="64" spans="1:15" x14ac:dyDescent="0.25">
      <c r="I64" s="3"/>
      <c r="J64" s="1" t="s">
        <v>1</v>
      </c>
      <c r="K64" s="1" t="s">
        <v>0</v>
      </c>
      <c r="L64" s="10" t="s">
        <v>32</v>
      </c>
      <c r="M64" s="11" t="s">
        <v>33</v>
      </c>
      <c r="N64" s="11" t="s">
        <v>34</v>
      </c>
      <c r="O64" s="11" t="s">
        <v>35</v>
      </c>
    </row>
    <row r="65" spans="9:15" x14ac:dyDescent="0.25">
      <c r="I65" s="7">
        <v>0.15</v>
      </c>
      <c r="J65" s="13">
        <f>(G54 - F54) / G54</f>
        <v>0.4186260949746427</v>
      </c>
      <c r="K65" s="13">
        <f>(G54 - G54) / G54</f>
        <v>0</v>
      </c>
      <c r="L65" s="13">
        <f>(G54 - H54) / G54</f>
        <v>-1.0444137083141229</v>
      </c>
      <c r="M65" s="13">
        <f>(G54 - I54) / G54</f>
        <v>-3.3348701398493823E-2</v>
      </c>
    </row>
    <row r="66" spans="9:15" x14ac:dyDescent="0.25">
      <c r="I66" s="8">
        <v>0.35</v>
      </c>
      <c r="J66" s="13">
        <f t="shared" ref="J66:J67" si="4">(G55 - F55) / G55</f>
        <v>0.43337943752881519</v>
      </c>
      <c r="K66" s="13">
        <f t="shared" ref="K66:K68" si="5">(G55 - G55) / G55</f>
        <v>0</v>
      </c>
      <c r="L66" s="13">
        <f t="shared" ref="L66:L67" si="6">(G55 - H55) / G55</f>
        <v>-0.56277854618103562</v>
      </c>
      <c r="M66" s="13">
        <f t="shared" ref="M66:M68" si="7">(G55 - I55) / G55</f>
        <v>-0.34332257568772084</v>
      </c>
    </row>
    <row r="67" spans="9:15" x14ac:dyDescent="0.25">
      <c r="I67" s="8">
        <v>0.55000000000000004</v>
      </c>
      <c r="J67" s="13">
        <f t="shared" si="4"/>
        <v>0.4021822652528047</v>
      </c>
      <c r="K67" s="13">
        <f t="shared" si="5"/>
        <v>0</v>
      </c>
      <c r="L67" s="13">
        <f t="shared" si="6"/>
        <v>-0.74304595051483013</v>
      </c>
      <c r="M67" s="13">
        <f t="shared" si="7"/>
        <v>1.5521745812202278E-2</v>
      </c>
    </row>
    <row r="68" spans="9:15" x14ac:dyDescent="0.25">
      <c r="I68" s="8">
        <v>0.7</v>
      </c>
      <c r="J68" s="13">
        <f>(G57 - F57) / G57</f>
        <v>0.41509143998770553</v>
      </c>
      <c r="K68" s="13">
        <f t="shared" si="5"/>
        <v>0</v>
      </c>
      <c r="L68" s="13">
        <f>(G57 - H57) / G57</f>
        <v>0.36575995082219154</v>
      </c>
      <c r="M68" s="13">
        <f t="shared" si="7"/>
        <v>0.37866912555709237</v>
      </c>
      <c r="N68" s="13">
        <f>(G57 - J57) / G57</f>
        <v>0.40018441678192718</v>
      </c>
      <c r="O68" s="13">
        <f>(G57 - K57) / G57</f>
        <v>0.46334716459197794</v>
      </c>
    </row>
    <row r="103" spans="3:7" x14ac:dyDescent="0.25">
      <c r="D103" t="s">
        <v>36</v>
      </c>
      <c r="F103" t="s">
        <v>16</v>
      </c>
    </row>
    <row r="104" spans="3:7" x14ac:dyDescent="0.25">
      <c r="C104" s="15"/>
      <c r="D104" s="11" t="s">
        <v>37</v>
      </c>
      <c r="F104" s="15"/>
      <c r="G104" s="11" t="s">
        <v>37</v>
      </c>
    </row>
    <row r="105" spans="3:7" x14ac:dyDescent="0.25">
      <c r="C105" s="10">
        <v>0</v>
      </c>
      <c r="D105" s="15">
        <v>917</v>
      </c>
      <c r="F105" s="10">
        <v>0</v>
      </c>
      <c r="G105" s="12">
        <v>0</v>
      </c>
    </row>
    <row r="106" spans="3:7" x14ac:dyDescent="0.25">
      <c r="C106" s="10">
        <v>191</v>
      </c>
      <c r="D106" s="15">
        <v>873</v>
      </c>
      <c r="F106" s="10">
        <v>191</v>
      </c>
      <c r="G106" s="2">
        <v>3.5799999999999998E-2</v>
      </c>
    </row>
    <row r="107" spans="3:7" x14ac:dyDescent="0.25">
      <c r="C107" s="10">
        <v>382</v>
      </c>
      <c r="D107" s="16">
        <v>812</v>
      </c>
      <c r="F107" s="10">
        <v>382</v>
      </c>
      <c r="G107" s="2">
        <v>7.15355805243445E-2</v>
      </c>
    </row>
    <row r="108" spans="3:7" x14ac:dyDescent="0.25">
      <c r="C108" s="10">
        <v>573</v>
      </c>
      <c r="D108" s="16">
        <v>736</v>
      </c>
      <c r="F108" s="10">
        <v>573</v>
      </c>
      <c r="G108" s="2">
        <v>0.12191011235955</v>
      </c>
    </row>
    <row r="109" spans="3:7" x14ac:dyDescent="0.25">
      <c r="C109" s="10">
        <v>764</v>
      </c>
      <c r="D109" s="15">
        <v>697</v>
      </c>
      <c r="F109" s="10">
        <v>764</v>
      </c>
      <c r="G109" s="2">
        <v>0.143071161048689</v>
      </c>
    </row>
    <row r="110" spans="3:7" x14ac:dyDescent="0.25">
      <c r="C110" s="17">
        <v>955</v>
      </c>
      <c r="D110" s="15">
        <v>731</v>
      </c>
      <c r="F110" s="17">
        <v>955</v>
      </c>
      <c r="G110" s="2">
        <v>0.21142322097378199</v>
      </c>
    </row>
    <row r="111" spans="3:7" x14ac:dyDescent="0.25">
      <c r="C111" s="17">
        <v>1146</v>
      </c>
      <c r="D111" s="15">
        <v>766</v>
      </c>
      <c r="F111" s="17">
        <v>1146</v>
      </c>
      <c r="G111" s="2">
        <v>0.42621722846441901</v>
      </c>
    </row>
    <row r="112" spans="3:7" x14ac:dyDescent="0.25">
      <c r="C112" s="17">
        <v>1337</v>
      </c>
      <c r="D112" s="15">
        <v>1090</v>
      </c>
      <c r="F112" s="17">
        <v>1337</v>
      </c>
      <c r="G112" s="2">
        <v>0.38876404494382</v>
      </c>
    </row>
    <row r="113" spans="3:7" x14ac:dyDescent="0.25">
      <c r="C113" s="18">
        <v>1528</v>
      </c>
      <c r="D113" s="15">
        <v>1152</v>
      </c>
      <c r="F113" s="18">
        <v>1528</v>
      </c>
      <c r="G113" s="2">
        <v>0.41217228464419398</v>
      </c>
    </row>
    <row r="114" spans="3:7" x14ac:dyDescent="0.25">
      <c r="C114" s="18">
        <v>1719</v>
      </c>
      <c r="D114" s="15">
        <v>1428</v>
      </c>
      <c r="F114" s="18">
        <v>1719</v>
      </c>
      <c r="G114" s="2">
        <v>0.45850000000000002</v>
      </c>
    </row>
  </sheetData>
  <mergeCells count="9">
    <mergeCell ref="A52:G52"/>
    <mergeCell ref="A41:G41"/>
    <mergeCell ref="A42:G42"/>
    <mergeCell ref="A2:G2"/>
    <mergeCell ref="A3:G3"/>
    <mergeCell ref="A15:G15"/>
    <mergeCell ref="A16:G16"/>
    <mergeCell ref="A28:G28"/>
    <mergeCell ref="A29:G2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4"/>
  <sheetViews>
    <sheetView topLeftCell="A26" zoomScale="85" zoomScaleNormal="85" workbookViewId="0">
      <selection activeCell="H38" sqref="H38:H42"/>
    </sheetView>
  </sheetViews>
  <sheetFormatPr defaultRowHeight="15" x14ac:dyDescent="0.25"/>
  <cols>
    <col min="2" max="3" width="15.85546875" bestFit="1" customWidth="1"/>
    <col min="4" max="4" width="38.28515625" bestFit="1" customWidth="1"/>
    <col min="5" max="5" width="15.85546875" bestFit="1" customWidth="1"/>
    <col min="6" max="6" width="9.5703125" bestFit="1" customWidth="1"/>
    <col min="8" max="8" width="21.85546875" bestFit="1" customWidth="1"/>
    <col min="9" max="9" width="23.28515625" bestFit="1" customWidth="1"/>
  </cols>
  <sheetData>
    <row r="1" spans="1:9" x14ac:dyDescent="0.25">
      <c r="A1" s="20" t="s">
        <v>17</v>
      </c>
      <c r="B1" s="20"/>
      <c r="C1" s="20"/>
      <c r="D1" s="20"/>
      <c r="E1" s="20"/>
      <c r="F1" s="20"/>
      <c r="G1" s="20"/>
    </row>
    <row r="2" spans="1:9" x14ac:dyDescent="0.25">
      <c r="A2" s="23" t="s">
        <v>15</v>
      </c>
      <c r="B2" s="22"/>
      <c r="C2" s="22"/>
      <c r="D2" s="22"/>
      <c r="E2" s="22"/>
      <c r="F2" s="22"/>
      <c r="G2" s="24"/>
    </row>
    <row r="3" spans="1:9" ht="60" x14ac:dyDescent="0.25">
      <c r="A3" s="5"/>
      <c r="B3" s="1" t="s">
        <v>6</v>
      </c>
      <c r="C3" s="4" t="s">
        <v>7</v>
      </c>
      <c r="D3" s="1" t="s">
        <v>8</v>
      </c>
      <c r="E3" s="4" t="s">
        <v>9</v>
      </c>
      <c r="F3" s="1" t="s">
        <v>1</v>
      </c>
      <c r="G3" s="1" t="s">
        <v>0</v>
      </c>
      <c r="H3" s="10" t="s">
        <v>24</v>
      </c>
      <c r="I3" s="11" t="s">
        <v>25</v>
      </c>
    </row>
    <row r="4" spans="1:9" x14ac:dyDescent="0.25">
      <c r="A4" s="1" t="s">
        <v>10</v>
      </c>
      <c r="B4">
        <v>287.61700000000002</v>
      </c>
      <c r="C4">
        <v>339.68700000000001</v>
      </c>
      <c r="D4">
        <v>10.606</v>
      </c>
      <c r="E4">
        <v>1.1459999999999999</v>
      </c>
      <c r="F4">
        <v>1.6719999999999999</v>
      </c>
      <c r="G4">
        <v>0.82399999999999995</v>
      </c>
      <c r="H4">
        <v>2.5510000000000002</v>
      </c>
      <c r="I4">
        <v>1.675</v>
      </c>
    </row>
    <row r="5" spans="1:9" x14ac:dyDescent="0.25">
      <c r="A5" s="1" t="s">
        <v>11</v>
      </c>
      <c r="B5">
        <v>272.90499999999997</v>
      </c>
      <c r="C5">
        <v>329.60300000000001</v>
      </c>
      <c r="D5">
        <v>7.6289999999999996</v>
      </c>
      <c r="E5">
        <v>1.4470000000000001</v>
      </c>
      <c r="F5">
        <v>1.383</v>
      </c>
      <c r="G5">
        <v>0.80400000000000005</v>
      </c>
      <c r="H5">
        <v>2.8050000000000002</v>
      </c>
      <c r="I5">
        <v>1.887</v>
      </c>
    </row>
    <row r="6" spans="1:9" x14ac:dyDescent="0.25">
      <c r="A6" s="1" t="s">
        <v>12</v>
      </c>
      <c r="B6">
        <v>318.31200000000001</v>
      </c>
      <c r="C6">
        <v>248.59200000000001</v>
      </c>
      <c r="D6">
        <v>9.3480000000000008</v>
      </c>
      <c r="E6">
        <v>1.2130000000000001</v>
      </c>
      <c r="F6">
        <v>1.667</v>
      </c>
      <c r="G6">
        <v>0.77900000000000003</v>
      </c>
      <c r="H6">
        <v>3.419</v>
      </c>
      <c r="I6">
        <v>1.7010000000000001</v>
      </c>
    </row>
    <row r="7" spans="1:9" x14ac:dyDescent="0.25">
      <c r="A7" s="1" t="s">
        <v>13</v>
      </c>
      <c r="B7">
        <v>342.27</v>
      </c>
      <c r="C7">
        <v>222.32599999999999</v>
      </c>
      <c r="D7">
        <v>11.31</v>
      </c>
      <c r="E7">
        <v>1.556</v>
      </c>
      <c r="F7">
        <v>1.823</v>
      </c>
      <c r="G7">
        <v>0.86699999999999999</v>
      </c>
      <c r="H7">
        <v>2.8290000000000002</v>
      </c>
      <c r="I7">
        <v>1.744</v>
      </c>
    </row>
    <row r="8" spans="1:9" x14ac:dyDescent="0.25">
      <c r="A8" s="1" t="s">
        <v>14</v>
      </c>
      <c r="B8">
        <v>361.11</v>
      </c>
      <c r="C8">
        <v>293.07299999999998</v>
      </c>
      <c r="D8">
        <v>4.1989999999999998</v>
      </c>
      <c r="E8">
        <v>1.298</v>
      </c>
      <c r="F8">
        <v>1.7250000000000001</v>
      </c>
      <c r="G8">
        <v>0.77500000000000002</v>
      </c>
      <c r="H8">
        <v>2.8250000000000002</v>
      </c>
      <c r="I8">
        <v>1.7949999999999999</v>
      </c>
    </row>
    <row r="13" spans="1:9" x14ac:dyDescent="0.25">
      <c r="A13" s="20" t="s">
        <v>18</v>
      </c>
      <c r="B13" s="20"/>
      <c r="C13" s="20"/>
      <c r="D13" s="20"/>
      <c r="E13" s="20"/>
      <c r="F13" s="20"/>
      <c r="G13" s="20"/>
    </row>
    <row r="14" spans="1:9" x14ac:dyDescent="0.25">
      <c r="A14" s="23" t="s">
        <v>15</v>
      </c>
      <c r="B14" s="22"/>
      <c r="C14" s="22"/>
      <c r="D14" s="22"/>
      <c r="E14" s="22"/>
      <c r="F14" s="22"/>
      <c r="G14" s="24"/>
    </row>
    <row r="15" spans="1:9" ht="60" x14ac:dyDescent="0.25">
      <c r="A15" s="5"/>
      <c r="B15" s="1" t="s">
        <v>6</v>
      </c>
      <c r="C15" s="4" t="s">
        <v>7</v>
      </c>
      <c r="D15" s="1" t="s">
        <v>8</v>
      </c>
      <c r="E15" s="4" t="s">
        <v>9</v>
      </c>
      <c r="F15" s="1" t="s">
        <v>1</v>
      </c>
      <c r="G15" s="1" t="s">
        <v>0</v>
      </c>
      <c r="H15" s="10" t="s">
        <v>24</v>
      </c>
      <c r="I15" s="11" t="s">
        <v>25</v>
      </c>
    </row>
    <row r="16" spans="1:9" x14ac:dyDescent="0.25">
      <c r="A16" s="1" t="s">
        <v>10</v>
      </c>
      <c r="B16">
        <v>55.119</v>
      </c>
      <c r="C16">
        <v>159.44399999999999</v>
      </c>
      <c r="D16">
        <v>3.1819999999999999</v>
      </c>
      <c r="E16">
        <v>1.587</v>
      </c>
      <c r="F16">
        <v>1.875</v>
      </c>
      <c r="G16">
        <v>0.82399999999999995</v>
      </c>
      <c r="H16">
        <v>2.2749999999999999</v>
      </c>
      <c r="I16">
        <v>1.768</v>
      </c>
    </row>
    <row r="17" spans="1:9" x14ac:dyDescent="0.25">
      <c r="A17" s="1" t="s">
        <v>11</v>
      </c>
      <c r="B17">
        <v>134.61699999999999</v>
      </c>
      <c r="C17">
        <v>127.81699999999999</v>
      </c>
      <c r="D17">
        <v>3.2450000000000001</v>
      </c>
      <c r="E17">
        <v>1.2430000000000001</v>
      </c>
      <c r="F17">
        <v>1.81</v>
      </c>
      <c r="G17">
        <v>0.80400000000000005</v>
      </c>
      <c r="H17">
        <v>2.8079999999999998</v>
      </c>
      <c r="I17">
        <v>1.9139999999999999</v>
      </c>
    </row>
    <row r="18" spans="1:9" x14ac:dyDescent="0.25">
      <c r="A18" s="1" t="s">
        <v>12</v>
      </c>
      <c r="B18">
        <v>120.911</v>
      </c>
      <c r="C18">
        <v>143.85300000000001</v>
      </c>
      <c r="D18">
        <v>6.5970000000000004</v>
      </c>
      <c r="E18">
        <v>1.407</v>
      </c>
      <c r="F18">
        <v>1.734</v>
      </c>
      <c r="G18">
        <v>0.77900000000000003</v>
      </c>
      <c r="H18">
        <v>2.766</v>
      </c>
      <c r="I18">
        <v>1.788</v>
      </c>
    </row>
    <row r="19" spans="1:9" x14ac:dyDescent="0.25">
      <c r="A19" s="1" t="s">
        <v>13</v>
      </c>
      <c r="B19">
        <v>146.965</v>
      </c>
      <c r="C19">
        <v>131.99199999999999</v>
      </c>
      <c r="D19">
        <v>13.036</v>
      </c>
      <c r="E19">
        <v>1.7509999999999999</v>
      </c>
      <c r="F19">
        <v>1.764</v>
      </c>
      <c r="G19">
        <v>0.86699999999999999</v>
      </c>
      <c r="H19">
        <v>2.7050000000000001</v>
      </c>
      <c r="I19">
        <v>1.79</v>
      </c>
    </row>
    <row r="20" spans="1:9" x14ac:dyDescent="0.25">
      <c r="A20" s="1" t="s">
        <v>14</v>
      </c>
      <c r="B20">
        <v>133.751</v>
      </c>
      <c r="C20">
        <v>142.07599999999999</v>
      </c>
      <c r="D20">
        <v>3.0870000000000002</v>
      </c>
      <c r="E20">
        <v>1.4590000000000001</v>
      </c>
      <c r="F20">
        <v>1.7010000000000001</v>
      </c>
      <c r="G20">
        <v>0.77500000000000002</v>
      </c>
      <c r="H20">
        <v>2.4710000000000001</v>
      </c>
      <c r="I20">
        <v>1.821</v>
      </c>
    </row>
    <row r="24" spans="1:9" x14ac:dyDescent="0.25">
      <c r="A24" s="20" t="s">
        <v>19</v>
      </c>
      <c r="B24" s="20"/>
      <c r="C24" s="20"/>
      <c r="D24" s="20"/>
      <c r="E24" s="20"/>
      <c r="F24" s="20"/>
      <c r="G24" s="20"/>
    </row>
    <row r="25" spans="1:9" x14ac:dyDescent="0.25">
      <c r="A25" s="23" t="s">
        <v>15</v>
      </c>
      <c r="B25" s="22"/>
      <c r="C25" s="22"/>
      <c r="D25" s="22"/>
      <c r="E25" s="22"/>
      <c r="F25" s="22"/>
      <c r="G25" s="24"/>
    </row>
    <row r="26" spans="1:9" ht="60" x14ac:dyDescent="0.25">
      <c r="A26" s="5"/>
      <c r="B26" s="1" t="s">
        <v>6</v>
      </c>
      <c r="C26" s="4" t="s">
        <v>7</v>
      </c>
      <c r="D26" s="1" t="s">
        <v>8</v>
      </c>
      <c r="E26" s="4" t="s">
        <v>9</v>
      </c>
      <c r="F26" s="1" t="s">
        <v>1</v>
      </c>
      <c r="G26" s="1" t="s">
        <v>0</v>
      </c>
      <c r="H26" s="10" t="s">
        <v>24</v>
      </c>
      <c r="I26" s="11" t="s">
        <v>25</v>
      </c>
    </row>
    <row r="27" spans="1:9" x14ac:dyDescent="0.25">
      <c r="A27" s="1" t="s">
        <v>10</v>
      </c>
      <c r="B27">
        <v>51.326999999999998</v>
      </c>
      <c r="C27">
        <v>58.094000000000001</v>
      </c>
      <c r="D27">
        <v>4.4379999999999997</v>
      </c>
      <c r="E27">
        <v>1.3420000000000001</v>
      </c>
      <c r="F27">
        <v>1.649</v>
      </c>
      <c r="G27">
        <v>0.82399999999999995</v>
      </c>
      <c r="H27">
        <v>2.5609999999999999</v>
      </c>
      <c r="I27">
        <v>1.879</v>
      </c>
    </row>
    <row r="28" spans="1:9" x14ac:dyDescent="0.25">
      <c r="A28" s="1" t="s">
        <v>11</v>
      </c>
      <c r="B28">
        <v>52.107999999999997</v>
      </c>
      <c r="C28">
        <v>53.09</v>
      </c>
      <c r="D28">
        <v>4.7969999999999997</v>
      </c>
      <c r="E28">
        <v>1.377</v>
      </c>
      <c r="F28">
        <v>1.577</v>
      </c>
      <c r="G28">
        <v>0.80400000000000005</v>
      </c>
      <c r="H28">
        <v>2.6269999999999998</v>
      </c>
      <c r="I28">
        <v>1.75</v>
      </c>
    </row>
    <row r="29" spans="1:9" x14ac:dyDescent="0.25">
      <c r="A29" s="1" t="s">
        <v>12</v>
      </c>
      <c r="B29">
        <v>55.914000000000001</v>
      </c>
      <c r="C29">
        <v>52.424999999999997</v>
      </c>
      <c r="D29">
        <v>3.9260000000000002</v>
      </c>
      <c r="E29">
        <v>1.351</v>
      </c>
      <c r="F29">
        <v>1.649</v>
      </c>
      <c r="G29">
        <v>0.77900000000000003</v>
      </c>
      <c r="H29">
        <v>2.6970000000000001</v>
      </c>
      <c r="I29">
        <v>1.7689999999999999</v>
      </c>
    </row>
    <row r="30" spans="1:9" x14ac:dyDescent="0.25">
      <c r="A30" s="1" t="s">
        <v>13</v>
      </c>
      <c r="B30">
        <v>61.482999999999997</v>
      </c>
      <c r="C30">
        <v>65.745000000000005</v>
      </c>
      <c r="D30">
        <v>5.3339999999999996</v>
      </c>
      <c r="E30">
        <v>1.4259999999999999</v>
      </c>
      <c r="F30">
        <v>1.974</v>
      </c>
      <c r="G30">
        <v>0.86699999999999999</v>
      </c>
      <c r="H30">
        <v>2.581</v>
      </c>
      <c r="I30">
        <v>1.7450000000000001</v>
      </c>
    </row>
    <row r="31" spans="1:9" x14ac:dyDescent="0.25">
      <c r="A31" s="1" t="s">
        <v>14</v>
      </c>
      <c r="B31">
        <v>56.595999999999997</v>
      </c>
      <c r="C31">
        <v>61.49</v>
      </c>
      <c r="D31">
        <v>6.96</v>
      </c>
      <c r="E31">
        <v>1.226</v>
      </c>
      <c r="F31">
        <v>1.7889999999999999</v>
      </c>
      <c r="G31">
        <v>0.77500000000000002</v>
      </c>
      <c r="H31">
        <v>2.5030000000000001</v>
      </c>
      <c r="I31">
        <v>1.595</v>
      </c>
    </row>
    <row r="35" spans="1:9" x14ac:dyDescent="0.25">
      <c r="A35" s="20" t="s">
        <v>20</v>
      </c>
      <c r="B35" s="20"/>
      <c r="C35" s="20"/>
      <c r="D35" s="20"/>
      <c r="E35" s="20"/>
      <c r="F35" s="20"/>
      <c r="G35" s="20"/>
    </row>
    <row r="36" spans="1:9" x14ac:dyDescent="0.25">
      <c r="A36" s="23" t="s">
        <v>15</v>
      </c>
      <c r="B36" s="22"/>
      <c r="C36" s="22"/>
      <c r="D36" s="22"/>
      <c r="E36" s="22"/>
      <c r="F36" s="22"/>
      <c r="G36" s="24"/>
    </row>
    <row r="37" spans="1:9" ht="60" x14ac:dyDescent="0.25">
      <c r="A37" s="5"/>
      <c r="B37" s="1" t="s">
        <v>6</v>
      </c>
      <c r="C37" s="4" t="s">
        <v>7</v>
      </c>
      <c r="D37" s="1" t="s">
        <v>8</v>
      </c>
      <c r="E37" s="4" t="s">
        <v>9</v>
      </c>
      <c r="F37" s="1" t="s">
        <v>1</v>
      </c>
      <c r="G37" s="1" t="s">
        <v>0</v>
      </c>
      <c r="H37" s="10" t="s">
        <v>24</v>
      </c>
      <c r="I37" s="11" t="s">
        <v>25</v>
      </c>
    </row>
    <row r="38" spans="1:9" x14ac:dyDescent="0.25">
      <c r="A38" s="1" t="s">
        <v>10</v>
      </c>
      <c r="B38">
        <v>34.35</v>
      </c>
      <c r="C38">
        <v>32.737000000000002</v>
      </c>
      <c r="D38">
        <v>3.9169999999999998</v>
      </c>
      <c r="E38">
        <v>1.1619999999999999</v>
      </c>
      <c r="F38">
        <v>1.484</v>
      </c>
      <c r="G38">
        <v>0.82399999999999995</v>
      </c>
      <c r="H38">
        <v>3.4750000000000001</v>
      </c>
      <c r="I38">
        <v>1.825</v>
      </c>
    </row>
    <row r="39" spans="1:9" x14ac:dyDescent="0.25">
      <c r="A39" s="1" t="s">
        <v>11</v>
      </c>
      <c r="B39">
        <v>33.448</v>
      </c>
      <c r="C39">
        <v>35.726999999999997</v>
      </c>
      <c r="D39">
        <v>3.2669999999999999</v>
      </c>
      <c r="E39">
        <v>1.208</v>
      </c>
      <c r="F39">
        <v>1.724</v>
      </c>
      <c r="G39">
        <v>0.80400000000000005</v>
      </c>
      <c r="H39">
        <v>3.5790000000000002</v>
      </c>
      <c r="I39">
        <v>1.714</v>
      </c>
    </row>
    <row r="40" spans="1:9" x14ac:dyDescent="0.25">
      <c r="A40" s="1" t="s">
        <v>12</v>
      </c>
      <c r="B40">
        <v>38.378999999999998</v>
      </c>
      <c r="C40">
        <v>39.978000000000002</v>
      </c>
      <c r="D40">
        <v>2.9689999999999999</v>
      </c>
      <c r="E40">
        <v>1.3759999999999999</v>
      </c>
      <c r="F40">
        <v>1.49</v>
      </c>
      <c r="G40">
        <v>0.77900000000000003</v>
      </c>
      <c r="H40">
        <v>3.3420000000000001</v>
      </c>
      <c r="I40">
        <v>1.984</v>
      </c>
    </row>
    <row r="41" spans="1:9" x14ac:dyDescent="0.25">
      <c r="A41" s="1" t="s">
        <v>13</v>
      </c>
      <c r="B41">
        <v>32.975000000000001</v>
      </c>
      <c r="C41">
        <v>30.149000000000001</v>
      </c>
      <c r="D41">
        <v>2.9729999999999999</v>
      </c>
      <c r="E41">
        <v>1.248</v>
      </c>
      <c r="F41">
        <v>1.8149999999999999</v>
      </c>
      <c r="G41">
        <v>0.86699999999999999</v>
      </c>
      <c r="H41">
        <v>3.69</v>
      </c>
      <c r="I41">
        <v>1.8380000000000001</v>
      </c>
    </row>
    <row r="42" spans="1:9" x14ac:dyDescent="0.25">
      <c r="A42" s="1" t="s">
        <v>14</v>
      </c>
      <c r="B42">
        <v>32.107999999999997</v>
      </c>
      <c r="C42">
        <v>30.937999999999999</v>
      </c>
      <c r="D42">
        <v>2.839</v>
      </c>
      <c r="E42">
        <v>1.131</v>
      </c>
      <c r="F42">
        <v>1.5629999999999999</v>
      </c>
      <c r="G42">
        <v>0.77500000000000002</v>
      </c>
      <c r="H42">
        <v>3.24</v>
      </c>
      <c r="I42">
        <v>1.859</v>
      </c>
    </row>
    <row r="49" spans="1:9" x14ac:dyDescent="0.25">
      <c r="A49" s="19" t="s">
        <v>21</v>
      </c>
      <c r="B49" s="19"/>
      <c r="C49" s="19"/>
      <c r="D49" s="19"/>
      <c r="E49" s="19"/>
      <c r="F49" s="19"/>
      <c r="G49" s="19"/>
    </row>
    <row r="50" spans="1:9" ht="60" x14ac:dyDescent="0.25">
      <c r="A50" s="3"/>
      <c r="B50" s="1" t="s">
        <v>6</v>
      </c>
      <c r="C50" s="4" t="s">
        <v>7</v>
      </c>
      <c r="D50" s="1" t="s">
        <v>8</v>
      </c>
      <c r="E50" s="4" t="s">
        <v>9</v>
      </c>
      <c r="F50" s="1" t="s">
        <v>1</v>
      </c>
      <c r="G50" s="1" t="s">
        <v>0</v>
      </c>
      <c r="H50" s="10" t="s">
        <v>24</v>
      </c>
      <c r="I50" s="11" t="s">
        <v>25</v>
      </c>
    </row>
    <row r="51" spans="1:9" x14ac:dyDescent="0.25">
      <c r="A51" s="7">
        <v>0.15</v>
      </c>
      <c r="B51">
        <f>AVERAGE(B4:B8)</f>
        <v>316.44279999999998</v>
      </c>
      <c r="C51">
        <f t="shared" ref="C51:I51" si="0">AVERAGE(C4:C8)</f>
        <v>286.65620000000001</v>
      </c>
      <c r="D51">
        <f t="shared" si="0"/>
        <v>8.6183999999999994</v>
      </c>
      <c r="E51">
        <f t="shared" si="0"/>
        <v>1.3320000000000001</v>
      </c>
      <c r="F51">
        <f t="shared" si="0"/>
        <v>1.6539999999999999</v>
      </c>
      <c r="G51">
        <f t="shared" si="0"/>
        <v>0.80980000000000008</v>
      </c>
      <c r="H51">
        <f t="shared" si="0"/>
        <v>2.8858000000000006</v>
      </c>
      <c r="I51">
        <f t="shared" si="0"/>
        <v>1.7604</v>
      </c>
    </row>
    <row r="52" spans="1:9" x14ac:dyDescent="0.25">
      <c r="A52" s="8">
        <v>0.35</v>
      </c>
      <c r="B52">
        <f t="shared" ref="B52:I52" si="1">AVERAGE(B16:B20)</f>
        <v>118.27259999999998</v>
      </c>
      <c r="C52">
        <f t="shared" si="1"/>
        <v>141.03640000000001</v>
      </c>
      <c r="D52">
        <f t="shared" si="1"/>
        <v>5.8294000000000006</v>
      </c>
      <c r="E52">
        <f t="shared" si="1"/>
        <v>1.4893999999999998</v>
      </c>
      <c r="F52">
        <f t="shared" si="1"/>
        <v>1.7768000000000002</v>
      </c>
      <c r="G52">
        <f t="shared" si="1"/>
        <v>0.80980000000000008</v>
      </c>
      <c r="H52">
        <f t="shared" si="1"/>
        <v>2.605</v>
      </c>
      <c r="I52">
        <f t="shared" si="1"/>
        <v>1.8161999999999998</v>
      </c>
    </row>
    <row r="53" spans="1:9" x14ac:dyDescent="0.25">
      <c r="A53" s="8">
        <v>0.55000000000000004</v>
      </c>
      <c r="B53">
        <f t="shared" ref="B53:H53" si="2">AVERAGE(B27:B31)</f>
        <v>55.485599999999998</v>
      </c>
      <c r="C53">
        <f t="shared" si="2"/>
        <v>58.168799999999997</v>
      </c>
      <c r="D53">
        <f t="shared" si="2"/>
        <v>5.0909999999999993</v>
      </c>
      <c r="E53">
        <f t="shared" si="2"/>
        <v>1.3444</v>
      </c>
      <c r="F53">
        <f t="shared" si="2"/>
        <v>1.7276</v>
      </c>
      <c r="G53">
        <f t="shared" si="2"/>
        <v>0.80980000000000008</v>
      </c>
      <c r="H53">
        <f t="shared" si="2"/>
        <v>2.5937999999999999</v>
      </c>
      <c r="I53">
        <f>AVERAGE(I27:I31)</f>
        <v>1.7475999999999998</v>
      </c>
    </row>
    <row r="54" spans="1:9" x14ac:dyDescent="0.25">
      <c r="A54" s="8">
        <v>0.7</v>
      </c>
      <c r="B54">
        <f t="shared" ref="B54:G54" si="3">AVERAGE(B38:B42)</f>
        <v>34.251999999999995</v>
      </c>
      <c r="C54">
        <f t="shared" si="3"/>
        <v>33.905799999999999</v>
      </c>
      <c r="D54">
        <f t="shared" si="3"/>
        <v>3.1929999999999996</v>
      </c>
      <c r="E54">
        <f t="shared" si="3"/>
        <v>1.2250000000000001</v>
      </c>
      <c r="F54">
        <f t="shared" si="3"/>
        <v>1.6152000000000002</v>
      </c>
      <c r="G54">
        <f t="shared" si="3"/>
        <v>0.80980000000000008</v>
      </c>
      <c r="H54">
        <f>AVERAGE(H38:H42)</f>
        <v>3.4652000000000003</v>
      </c>
      <c r="I54">
        <f>AVERAGE(I38:I42)</f>
        <v>1.8439999999999999</v>
      </c>
    </row>
  </sheetData>
  <mergeCells count="9">
    <mergeCell ref="A49:G49"/>
    <mergeCell ref="A35:G35"/>
    <mergeCell ref="A36:G36"/>
    <mergeCell ref="A1:G1"/>
    <mergeCell ref="A2:G2"/>
    <mergeCell ref="A13:G13"/>
    <mergeCell ref="A14:G14"/>
    <mergeCell ref="A24:G24"/>
    <mergeCell ref="A25:G2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95"/>
  <sheetViews>
    <sheetView topLeftCell="A79" zoomScale="85" zoomScaleNormal="85" workbookViewId="0">
      <selection activeCell="I129" sqref="I129"/>
    </sheetView>
  </sheetViews>
  <sheetFormatPr defaultRowHeight="15" x14ac:dyDescent="0.25"/>
  <cols>
    <col min="1" max="1" width="13.5703125" bestFit="1" customWidth="1"/>
    <col min="2" max="2" width="15.85546875" bestFit="1" customWidth="1"/>
    <col min="3" max="3" width="24" bestFit="1" customWidth="1"/>
    <col min="4" max="4" width="38.28515625" bestFit="1" customWidth="1"/>
    <col min="5" max="5" width="23.28515625" bestFit="1" customWidth="1"/>
    <col min="6" max="6" width="9.5703125" bestFit="1" customWidth="1"/>
    <col min="9" max="9" width="23.28515625" bestFit="1" customWidth="1"/>
  </cols>
  <sheetData>
    <row r="1" spans="1:9" x14ac:dyDescent="0.25">
      <c r="A1" s="20" t="s">
        <v>17</v>
      </c>
      <c r="B1" s="20"/>
      <c r="C1" s="20"/>
      <c r="D1" s="20"/>
      <c r="E1" s="20"/>
      <c r="F1" s="20"/>
      <c r="G1" s="20"/>
    </row>
    <row r="2" spans="1:9" x14ac:dyDescent="0.25">
      <c r="A2" s="21" t="s">
        <v>16</v>
      </c>
      <c r="B2" s="21"/>
      <c r="C2" s="21"/>
      <c r="D2" s="21"/>
      <c r="E2" s="21"/>
      <c r="F2" s="21"/>
      <c r="G2" s="21"/>
    </row>
    <row r="3" spans="1:9" ht="45" x14ac:dyDescent="0.25">
      <c r="A3" s="3"/>
      <c r="B3" s="1" t="s">
        <v>6</v>
      </c>
      <c r="C3" s="4" t="s">
        <v>7</v>
      </c>
      <c r="D3" s="1" t="s">
        <v>8</v>
      </c>
      <c r="E3" s="4" t="s">
        <v>9</v>
      </c>
      <c r="F3" s="1" t="s">
        <v>1</v>
      </c>
      <c r="G3" s="1" t="s">
        <v>0</v>
      </c>
      <c r="H3" s="10" t="s">
        <v>24</v>
      </c>
      <c r="I3" s="11" t="s">
        <v>25</v>
      </c>
    </row>
    <row r="4" spans="1:9" x14ac:dyDescent="0.25">
      <c r="A4" s="1" t="s">
        <v>10</v>
      </c>
      <c r="B4">
        <v>0</v>
      </c>
      <c r="C4">
        <v>0</v>
      </c>
      <c r="D4">
        <v>0</v>
      </c>
      <c r="F4">
        <v>0.27900000000000003</v>
      </c>
      <c r="G4">
        <v>0.27700000000000002</v>
      </c>
      <c r="H4">
        <v>0</v>
      </c>
      <c r="I4">
        <v>3.9879999999999999E-2</v>
      </c>
    </row>
    <row r="5" spans="1:9" x14ac:dyDescent="0.25">
      <c r="A5" s="1" t="s">
        <v>11</v>
      </c>
      <c r="B5">
        <v>0</v>
      </c>
      <c r="C5">
        <v>0</v>
      </c>
      <c r="F5">
        <v>0.27900000000000003</v>
      </c>
      <c r="G5">
        <v>0.28399999999999997</v>
      </c>
      <c r="H5">
        <v>0</v>
      </c>
      <c r="I5">
        <v>6.5699999999999995E-2</v>
      </c>
    </row>
    <row r="6" spans="1:9" x14ac:dyDescent="0.25">
      <c r="A6" s="1" t="s">
        <v>12</v>
      </c>
      <c r="B6">
        <v>0</v>
      </c>
      <c r="C6">
        <v>0</v>
      </c>
      <c r="F6">
        <v>0.27900000000000003</v>
      </c>
      <c r="G6">
        <v>0.28199999999999997</v>
      </c>
      <c r="H6">
        <v>0</v>
      </c>
      <c r="I6">
        <v>4.7750000000000001E-2</v>
      </c>
    </row>
    <row r="7" spans="1:9" x14ac:dyDescent="0.25">
      <c r="A7" s="1" t="s">
        <v>13</v>
      </c>
      <c r="B7">
        <v>0</v>
      </c>
      <c r="C7">
        <v>0</v>
      </c>
      <c r="F7">
        <v>0.28299999999999997</v>
      </c>
      <c r="G7">
        <v>0.27889999999999998</v>
      </c>
      <c r="H7">
        <v>0</v>
      </c>
      <c r="I7">
        <v>5.6300000000000003E-2</v>
      </c>
    </row>
    <row r="8" spans="1:9" x14ac:dyDescent="0.25">
      <c r="A8" s="1" t="s">
        <v>14</v>
      </c>
      <c r="B8">
        <v>0</v>
      </c>
      <c r="C8">
        <v>0</v>
      </c>
      <c r="F8">
        <v>0.27800000000000002</v>
      </c>
      <c r="G8">
        <v>0.26300000000000001</v>
      </c>
      <c r="H8">
        <v>0</v>
      </c>
      <c r="I8">
        <v>3.7600000000000001E-2</v>
      </c>
    </row>
    <row r="10" spans="1:9" x14ac:dyDescent="0.25">
      <c r="A10" s="25" t="s">
        <v>3</v>
      </c>
      <c r="B10" s="25"/>
      <c r="C10" s="25"/>
    </row>
    <row r="11" spans="1:9" x14ac:dyDescent="0.25">
      <c r="B11" s="1" t="s">
        <v>0</v>
      </c>
      <c r="C11" s="1" t="s">
        <v>1</v>
      </c>
      <c r="D11" s="10" t="s">
        <v>24</v>
      </c>
      <c r="E11" s="11" t="s">
        <v>25</v>
      </c>
    </row>
    <row r="12" spans="1:9" x14ac:dyDescent="0.25">
      <c r="A12" s="1" t="s">
        <v>10</v>
      </c>
      <c r="B12" s="2">
        <v>0.30005300000000001</v>
      </c>
      <c r="C12" s="2">
        <v>0.30187999999999998</v>
      </c>
      <c r="D12" s="12">
        <v>0</v>
      </c>
      <c r="E12" s="2">
        <v>3.6538000000000001E-2</v>
      </c>
    </row>
    <row r="13" spans="1:9" x14ac:dyDescent="0.25">
      <c r="A13" s="1" t="s">
        <v>11</v>
      </c>
      <c r="B13" s="2">
        <v>0.31176999999999999</v>
      </c>
      <c r="C13" s="2">
        <v>0.30216999999999999</v>
      </c>
      <c r="D13" s="12">
        <v>0</v>
      </c>
      <c r="E13" s="2">
        <v>7.9780000000000004E-2</v>
      </c>
    </row>
    <row r="14" spans="1:9" x14ac:dyDescent="0.25">
      <c r="A14" s="1" t="s">
        <v>12</v>
      </c>
      <c r="B14" s="2">
        <v>0.30499999999999999</v>
      </c>
      <c r="C14" s="2">
        <v>0.28015800000000002</v>
      </c>
      <c r="D14" s="12">
        <v>0</v>
      </c>
      <c r="E14" s="2">
        <v>4.3529999999999999E-2</v>
      </c>
    </row>
    <row r="15" spans="1:9" x14ac:dyDescent="0.25">
      <c r="A15" s="1" t="s">
        <v>13</v>
      </c>
      <c r="B15" s="2">
        <v>0.30619000000000002</v>
      </c>
      <c r="C15" s="2">
        <v>0.30586000000000002</v>
      </c>
      <c r="D15" s="12">
        <v>0</v>
      </c>
      <c r="E15" s="2">
        <v>5.1963200000000001E-2</v>
      </c>
    </row>
    <row r="16" spans="1:9" x14ac:dyDescent="0.25">
      <c r="A16" s="1" t="s">
        <v>14</v>
      </c>
      <c r="B16" s="2">
        <v>0.28906999999999999</v>
      </c>
      <c r="C16" s="2">
        <v>0.30046</v>
      </c>
      <c r="D16" s="12">
        <v>0</v>
      </c>
      <c r="E16" s="2">
        <v>3.397E-2</v>
      </c>
    </row>
    <row r="21" spans="1:9" x14ac:dyDescent="0.25">
      <c r="A21" s="20" t="s">
        <v>18</v>
      </c>
      <c r="B21" s="20"/>
      <c r="C21" s="20"/>
      <c r="D21" s="20"/>
      <c r="E21" s="20"/>
      <c r="F21" s="20"/>
      <c r="G21" s="20"/>
    </row>
    <row r="22" spans="1:9" x14ac:dyDescent="0.25">
      <c r="A22" s="21" t="s">
        <v>16</v>
      </c>
      <c r="B22" s="21"/>
      <c r="C22" s="21"/>
      <c r="D22" s="21"/>
      <c r="E22" s="21"/>
      <c r="F22" s="21"/>
      <c r="G22" s="21"/>
    </row>
    <row r="23" spans="1:9" ht="45" x14ac:dyDescent="0.25">
      <c r="A23" s="3"/>
      <c r="B23" s="1" t="s">
        <v>6</v>
      </c>
      <c r="C23" s="4" t="s">
        <v>7</v>
      </c>
      <c r="D23" s="1" t="s">
        <v>8</v>
      </c>
      <c r="E23" s="4" t="s">
        <v>9</v>
      </c>
      <c r="F23" s="1" t="s">
        <v>1</v>
      </c>
      <c r="G23" s="1" t="s">
        <v>0</v>
      </c>
      <c r="H23" s="10" t="s">
        <v>24</v>
      </c>
      <c r="I23" s="11" t="s">
        <v>25</v>
      </c>
    </row>
    <row r="24" spans="1:9" x14ac:dyDescent="0.25">
      <c r="A24" s="1" t="s">
        <v>10</v>
      </c>
      <c r="B24">
        <v>0</v>
      </c>
      <c r="C24">
        <v>0</v>
      </c>
      <c r="F24">
        <v>0.27100000000000002</v>
      </c>
      <c r="G24">
        <v>0.27700000000000002</v>
      </c>
      <c r="H24">
        <v>0</v>
      </c>
      <c r="I24">
        <v>1.1979999999999999E-2</v>
      </c>
    </row>
    <row r="25" spans="1:9" x14ac:dyDescent="0.25">
      <c r="A25" s="1" t="s">
        <v>11</v>
      </c>
      <c r="B25">
        <v>0</v>
      </c>
      <c r="C25">
        <v>0</v>
      </c>
      <c r="F25">
        <v>0.26900000000000002</v>
      </c>
      <c r="G25">
        <v>0.28399999999999997</v>
      </c>
      <c r="H25">
        <v>0</v>
      </c>
      <c r="I25">
        <v>3.4450000000000001E-2</v>
      </c>
    </row>
    <row r="26" spans="1:9" x14ac:dyDescent="0.25">
      <c r="A26" s="1" t="s">
        <v>12</v>
      </c>
      <c r="B26">
        <v>0</v>
      </c>
      <c r="C26">
        <v>0</v>
      </c>
      <c r="F26">
        <v>0.26600000000000001</v>
      </c>
      <c r="G26">
        <v>0.28199999999999997</v>
      </c>
      <c r="H26">
        <v>0</v>
      </c>
      <c r="I26">
        <v>4.2130000000000001E-2</v>
      </c>
    </row>
    <row r="27" spans="1:9" x14ac:dyDescent="0.25">
      <c r="A27" s="1" t="s">
        <v>13</v>
      </c>
      <c r="B27">
        <v>0</v>
      </c>
      <c r="C27">
        <v>0</v>
      </c>
      <c r="F27">
        <v>0.27200000000000002</v>
      </c>
      <c r="G27">
        <v>0.27889999999999998</v>
      </c>
      <c r="H27">
        <v>0</v>
      </c>
      <c r="I27">
        <v>4.7750000000000001E-2</v>
      </c>
    </row>
    <row r="28" spans="1:9" x14ac:dyDescent="0.25">
      <c r="A28" s="1" t="s">
        <v>14</v>
      </c>
      <c r="B28">
        <v>0</v>
      </c>
      <c r="C28">
        <v>0</v>
      </c>
      <c r="F28">
        <v>0.27500000000000002</v>
      </c>
      <c r="G28">
        <v>0.26300000000000001</v>
      </c>
      <c r="H28">
        <v>0</v>
      </c>
      <c r="I28">
        <v>4.2130000000000001E-2</v>
      </c>
    </row>
    <row r="30" spans="1:9" x14ac:dyDescent="0.25">
      <c r="A30" s="25" t="s">
        <v>3</v>
      </c>
      <c r="B30" s="25"/>
      <c r="C30" s="25"/>
    </row>
    <row r="31" spans="1:9" x14ac:dyDescent="0.25">
      <c r="B31" s="1" t="s">
        <v>0</v>
      </c>
      <c r="C31" s="1" t="s">
        <v>1</v>
      </c>
      <c r="D31" s="10" t="s">
        <v>24</v>
      </c>
      <c r="E31" s="11" t="s">
        <v>25</v>
      </c>
    </row>
    <row r="32" spans="1:9" x14ac:dyDescent="0.25">
      <c r="A32" s="1" t="s">
        <v>10</v>
      </c>
      <c r="B32" s="2">
        <v>0.30005300000000001</v>
      </c>
      <c r="C32" s="2">
        <v>0.29454000000000002</v>
      </c>
      <c r="D32" s="2">
        <v>0</v>
      </c>
      <c r="E32" s="2">
        <v>1.3166000000000001E-2</v>
      </c>
    </row>
    <row r="33" spans="1:9" x14ac:dyDescent="0.25">
      <c r="A33" s="1" t="s">
        <v>11</v>
      </c>
      <c r="B33" s="2">
        <v>0.31176999999999999</v>
      </c>
      <c r="C33" s="2">
        <v>0.29216999999999999</v>
      </c>
      <c r="D33" s="2">
        <v>0</v>
      </c>
      <c r="E33" s="2">
        <v>3.1154000000000001E-2</v>
      </c>
    </row>
    <row r="34" spans="1:9" x14ac:dyDescent="0.25">
      <c r="A34" s="1" t="s">
        <v>12</v>
      </c>
      <c r="B34" s="2">
        <v>0.30499999999999999</v>
      </c>
      <c r="C34" s="2">
        <v>0.28894999999999998</v>
      </c>
      <c r="D34" s="2">
        <v>0</v>
      </c>
      <c r="E34" s="2">
        <v>3.8739999999999997E-2</v>
      </c>
    </row>
    <row r="35" spans="1:9" x14ac:dyDescent="0.25">
      <c r="A35" s="1" t="s">
        <v>13</v>
      </c>
      <c r="B35" s="2">
        <v>0.30619000000000002</v>
      </c>
      <c r="C35" s="2">
        <v>0.29457</v>
      </c>
      <c r="D35" s="2">
        <v>0</v>
      </c>
      <c r="E35" s="2">
        <v>4.3209999999999998E-2</v>
      </c>
    </row>
    <row r="36" spans="1:9" x14ac:dyDescent="0.25">
      <c r="A36" s="1" t="s">
        <v>14</v>
      </c>
      <c r="B36" s="2">
        <v>0.28906999999999999</v>
      </c>
      <c r="C36" s="2">
        <v>0.29794999999999999</v>
      </c>
      <c r="D36" s="2">
        <v>0</v>
      </c>
      <c r="E36" s="2">
        <v>2.1589000000000001E-2</v>
      </c>
    </row>
    <row r="40" spans="1:9" x14ac:dyDescent="0.25">
      <c r="A40" s="20" t="s">
        <v>19</v>
      </c>
      <c r="B40" s="20"/>
      <c r="C40" s="20"/>
      <c r="D40" s="20"/>
      <c r="E40" s="20"/>
      <c r="F40" s="20"/>
      <c r="G40" s="20"/>
    </row>
    <row r="41" spans="1:9" x14ac:dyDescent="0.25">
      <c r="A41" s="21" t="s">
        <v>16</v>
      </c>
      <c r="B41" s="21"/>
      <c r="C41" s="21"/>
      <c r="D41" s="21"/>
      <c r="E41" s="21"/>
      <c r="F41" s="21"/>
      <c r="G41" s="21"/>
    </row>
    <row r="42" spans="1:9" ht="45" x14ac:dyDescent="0.25">
      <c r="A42" s="3"/>
      <c r="B42" s="1" t="s">
        <v>6</v>
      </c>
      <c r="C42" s="4" t="s">
        <v>7</v>
      </c>
      <c r="D42" s="1" t="s">
        <v>8</v>
      </c>
      <c r="E42" s="4" t="s">
        <v>9</v>
      </c>
      <c r="F42" s="1" t="s">
        <v>1</v>
      </c>
      <c r="G42" s="1" t="s">
        <v>0</v>
      </c>
      <c r="H42" s="10" t="s">
        <v>24</v>
      </c>
      <c r="I42" s="11" t="s">
        <v>25</v>
      </c>
    </row>
    <row r="43" spans="1:9" x14ac:dyDescent="0.25">
      <c r="A43" s="1" t="s">
        <v>10</v>
      </c>
      <c r="B43">
        <v>0</v>
      </c>
      <c r="C43">
        <v>0</v>
      </c>
      <c r="F43">
        <v>0.26300000000000001</v>
      </c>
      <c r="G43">
        <v>0.27700000000000002</v>
      </c>
      <c r="H43">
        <v>0</v>
      </c>
      <c r="I43">
        <v>4.0439999999999997E-2</v>
      </c>
    </row>
    <row r="44" spans="1:9" x14ac:dyDescent="0.25">
      <c r="A44" s="1" t="s">
        <v>11</v>
      </c>
      <c r="B44">
        <v>0</v>
      </c>
      <c r="C44">
        <v>0</v>
      </c>
      <c r="F44">
        <v>0.249</v>
      </c>
      <c r="G44">
        <v>0.28399999999999997</v>
      </c>
      <c r="H44">
        <v>0</v>
      </c>
      <c r="I44">
        <v>4.3439999999999999E-2</v>
      </c>
    </row>
    <row r="45" spans="1:9" x14ac:dyDescent="0.25">
      <c r="A45" s="1" t="s">
        <v>12</v>
      </c>
      <c r="B45">
        <v>0</v>
      </c>
      <c r="C45">
        <v>0</v>
      </c>
      <c r="F45">
        <v>0.26700000000000002</v>
      </c>
      <c r="G45">
        <v>0.28199999999999997</v>
      </c>
      <c r="H45">
        <v>0</v>
      </c>
      <c r="I45">
        <v>2.7699999999999999E-2</v>
      </c>
    </row>
    <row r="46" spans="1:9" x14ac:dyDescent="0.25">
      <c r="A46" s="1" t="s">
        <v>13</v>
      </c>
      <c r="B46">
        <v>0</v>
      </c>
      <c r="C46">
        <v>0</v>
      </c>
      <c r="F46">
        <v>0.27600000000000002</v>
      </c>
      <c r="G46">
        <v>0.27889999999999998</v>
      </c>
      <c r="H46">
        <v>0</v>
      </c>
      <c r="I46">
        <v>3.6139999999999999E-2</v>
      </c>
    </row>
    <row r="47" spans="1:9" x14ac:dyDescent="0.25">
      <c r="A47" s="1" t="s">
        <v>14</v>
      </c>
      <c r="B47">
        <v>0</v>
      </c>
      <c r="C47">
        <v>0</v>
      </c>
      <c r="F47">
        <v>0.253</v>
      </c>
      <c r="G47">
        <v>0.26300000000000001</v>
      </c>
      <c r="H47">
        <v>0</v>
      </c>
      <c r="I47">
        <v>5.917E-2</v>
      </c>
    </row>
    <row r="49" spans="1:9" x14ac:dyDescent="0.25">
      <c r="A49" s="25" t="s">
        <v>3</v>
      </c>
      <c r="B49" s="25"/>
      <c r="C49" s="25"/>
    </row>
    <row r="50" spans="1:9" x14ac:dyDescent="0.25">
      <c r="B50" s="1" t="s">
        <v>0</v>
      </c>
      <c r="C50" s="1" t="s">
        <v>1</v>
      </c>
      <c r="D50" s="10" t="s">
        <v>24</v>
      </c>
      <c r="E50" s="11" t="s">
        <v>25</v>
      </c>
    </row>
    <row r="51" spans="1:9" x14ac:dyDescent="0.25">
      <c r="A51" s="1" t="s">
        <v>10</v>
      </c>
      <c r="B51" s="2">
        <v>0.30005300000000001</v>
      </c>
      <c r="C51" s="2">
        <v>0.28673999999999999</v>
      </c>
      <c r="D51" s="12">
        <v>0</v>
      </c>
      <c r="E51" s="12">
        <v>3.653E-2</v>
      </c>
    </row>
    <row r="52" spans="1:9" x14ac:dyDescent="0.25">
      <c r="A52" s="1" t="s">
        <v>11</v>
      </c>
      <c r="B52" s="2">
        <v>0.31176999999999999</v>
      </c>
      <c r="C52" s="2">
        <v>0.27310000000000001</v>
      </c>
      <c r="D52" s="12">
        <v>0</v>
      </c>
      <c r="E52" s="12">
        <v>3.9612000000000001E-2</v>
      </c>
    </row>
    <row r="53" spans="1:9" x14ac:dyDescent="0.25">
      <c r="A53" s="1" t="s">
        <v>12</v>
      </c>
      <c r="B53" s="2">
        <v>0.30499999999999999</v>
      </c>
      <c r="C53" s="2">
        <v>0.29060999999999998</v>
      </c>
      <c r="D53" s="12">
        <v>0</v>
      </c>
      <c r="E53" s="12">
        <v>2.4490000000000001E-2</v>
      </c>
    </row>
    <row r="54" spans="1:9" x14ac:dyDescent="0.25">
      <c r="A54" s="1" t="s">
        <v>13</v>
      </c>
      <c r="B54" s="2">
        <v>0.30619000000000002</v>
      </c>
      <c r="C54" s="2">
        <v>0.29962</v>
      </c>
      <c r="D54" s="12">
        <v>0</v>
      </c>
      <c r="E54" s="12">
        <v>3.243E-2</v>
      </c>
    </row>
    <row r="55" spans="1:9" x14ac:dyDescent="0.25">
      <c r="A55" s="1" t="s">
        <v>14</v>
      </c>
      <c r="B55" s="2">
        <v>0.28906999999999999</v>
      </c>
      <c r="C55" s="2">
        <v>0.27543000000000001</v>
      </c>
      <c r="D55" s="12">
        <v>0</v>
      </c>
      <c r="E55" s="12">
        <v>5.525E-2</v>
      </c>
    </row>
    <row r="59" spans="1:9" x14ac:dyDescent="0.25">
      <c r="A59" s="20" t="s">
        <v>20</v>
      </c>
      <c r="B59" s="20"/>
      <c r="C59" s="20"/>
      <c r="D59" s="20"/>
      <c r="E59" s="20"/>
      <c r="F59" s="20"/>
      <c r="G59" s="20"/>
    </row>
    <row r="60" spans="1:9" x14ac:dyDescent="0.25">
      <c r="A60" s="21" t="s">
        <v>16</v>
      </c>
      <c r="B60" s="21"/>
      <c r="C60" s="21"/>
      <c r="D60" s="21"/>
      <c r="E60" s="21"/>
      <c r="F60" s="21"/>
      <c r="G60" s="21"/>
    </row>
    <row r="61" spans="1:9" ht="45" x14ac:dyDescent="0.25">
      <c r="A61" s="3"/>
      <c r="B61" s="1" t="s">
        <v>6</v>
      </c>
      <c r="C61" s="4" t="s">
        <v>7</v>
      </c>
      <c r="D61" s="1" t="s">
        <v>8</v>
      </c>
      <c r="E61" s="4" t="s">
        <v>9</v>
      </c>
      <c r="F61" s="1" t="s">
        <v>1</v>
      </c>
      <c r="G61" s="1" t="s">
        <v>0</v>
      </c>
      <c r="H61" s="10" t="s">
        <v>24</v>
      </c>
      <c r="I61" s="11" t="s">
        <v>25</v>
      </c>
    </row>
    <row r="62" spans="1:9" x14ac:dyDescent="0.25">
      <c r="A62" s="1" t="s">
        <v>10</v>
      </c>
      <c r="F62">
        <v>0.26700000000000002</v>
      </c>
      <c r="G62">
        <v>0.27700000000000002</v>
      </c>
      <c r="H62">
        <v>0</v>
      </c>
      <c r="I62">
        <v>3.8199999999999998E-2</v>
      </c>
    </row>
    <row r="63" spans="1:9" x14ac:dyDescent="0.25">
      <c r="A63" s="1" t="s">
        <v>11</v>
      </c>
      <c r="F63">
        <v>0.25900000000000001</v>
      </c>
      <c r="G63">
        <v>0.28399999999999997</v>
      </c>
      <c r="H63">
        <v>0</v>
      </c>
      <c r="I63">
        <v>5.28E-2</v>
      </c>
    </row>
    <row r="64" spans="1:9" x14ac:dyDescent="0.25">
      <c r="A64" s="1" t="s">
        <v>12</v>
      </c>
      <c r="F64">
        <v>0.26119999999999999</v>
      </c>
      <c r="G64">
        <v>0.28199999999999997</v>
      </c>
      <c r="H64">
        <v>0</v>
      </c>
      <c r="I64">
        <v>4.3069999999999997E-2</v>
      </c>
    </row>
    <row r="65" spans="1:9" x14ac:dyDescent="0.25">
      <c r="A65" s="1" t="s">
        <v>13</v>
      </c>
      <c r="F65">
        <v>0.27</v>
      </c>
      <c r="G65">
        <v>0.27889999999999998</v>
      </c>
      <c r="H65">
        <v>0</v>
      </c>
      <c r="I65">
        <v>3.295E-2</v>
      </c>
    </row>
    <row r="66" spans="1:9" x14ac:dyDescent="0.25">
      <c r="A66" s="1" t="s">
        <v>14</v>
      </c>
      <c r="F66">
        <v>0.26600000000000001</v>
      </c>
      <c r="G66">
        <v>0.26300000000000001</v>
      </c>
      <c r="H66">
        <v>0</v>
      </c>
      <c r="I66">
        <v>5.4109999999999998E-2</v>
      </c>
    </row>
    <row r="68" spans="1:9" x14ac:dyDescent="0.25">
      <c r="A68" s="25" t="s">
        <v>3</v>
      </c>
      <c r="B68" s="25"/>
      <c r="C68" s="25"/>
    </row>
    <row r="69" spans="1:9" x14ac:dyDescent="0.25">
      <c r="B69" s="1" t="s">
        <v>0</v>
      </c>
      <c r="C69" s="1" t="s">
        <v>1</v>
      </c>
      <c r="D69" s="10" t="s">
        <v>24</v>
      </c>
      <c r="E69" s="11" t="s">
        <v>25</v>
      </c>
    </row>
    <row r="70" spans="1:9" x14ac:dyDescent="0.25">
      <c r="A70" s="1" t="s">
        <v>10</v>
      </c>
      <c r="B70" s="2">
        <v>0.30005300000000001</v>
      </c>
      <c r="C70" s="2">
        <v>0.29046</v>
      </c>
      <c r="D70" s="2">
        <v>0</v>
      </c>
      <c r="E70" s="2">
        <v>4.6330000000000003E-2</v>
      </c>
    </row>
    <row r="71" spans="1:9" x14ac:dyDescent="0.25">
      <c r="A71" s="1" t="s">
        <v>11</v>
      </c>
      <c r="B71" s="2">
        <v>0.31176999999999999</v>
      </c>
      <c r="C71" s="2">
        <v>0.28264</v>
      </c>
      <c r="D71" s="2">
        <v>0</v>
      </c>
      <c r="E71" s="2">
        <v>4.7980000000000002E-2</v>
      </c>
    </row>
    <row r="72" spans="1:9" x14ac:dyDescent="0.25">
      <c r="A72" s="1" t="s">
        <v>12</v>
      </c>
      <c r="B72" s="2">
        <v>0.30499999999999999</v>
      </c>
      <c r="C72" s="2">
        <v>0.28449999999999998</v>
      </c>
      <c r="D72" s="2">
        <v>0</v>
      </c>
      <c r="E72" s="2">
        <v>4.036E-2</v>
      </c>
    </row>
    <row r="73" spans="1:9" x14ac:dyDescent="0.25">
      <c r="A73" s="1" t="s">
        <v>13</v>
      </c>
      <c r="B73" s="2">
        <v>0.30619000000000002</v>
      </c>
      <c r="C73" s="2">
        <v>0.29320000000000002</v>
      </c>
      <c r="D73" s="2">
        <v>0</v>
      </c>
      <c r="E73" s="2">
        <v>3.6488E-2</v>
      </c>
    </row>
    <row r="74" spans="1:9" x14ac:dyDescent="0.25">
      <c r="A74" s="1" t="s">
        <v>14</v>
      </c>
      <c r="B74" s="2">
        <v>0.28906999999999999</v>
      </c>
      <c r="C74" s="2">
        <v>0.28894999999999998</v>
      </c>
      <c r="D74" s="2">
        <v>0</v>
      </c>
      <c r="E74" s="2">
        <v>5.0054000000000001E-2</v>
      </c>
    </row>
    <row r="78" spans="1:9" x14ac:dyDescent="0.25">
      <c r="A78" s="19" t="s">
        <v>22</v>
      </c>
      <c r="B78" s="19"/>
      <c r="C78" s="19"/>
      <c r="D78" s="19"/>
      <c r="E78" s="19"/>
      <c r="F78" s="19"/>
      <c r="G78" s="19"/>
    </row>
    <row r="79" spans="1:9" x14ac:dyDescent="0.25">
      <c r="A79" s="21" t="s">
        <v>5</v>
      </c>
      <c r="B79" s="21"/>
      <c r="C79" s="21"/>
      <c r="D79" s="21"/>
      <c r="E79" s="21"/>
      <c r="F79" s="21"/>
      <c r="G79" s="21"/>
    </row>
    <row r="80" spans="1:9" x14ac:dyDescent="0.25">
      <c r="A80" s="6"/>
      <c r="B80" s="1" t="s">
        <v>1</v>
      </c>
      <c r="C80" s="1" t="s">
        <v>0</v>
      </c>
      <c r="D80" s="14" t="s">
        <v>27</v>
      </c>
      <c r="E80" s="11" t="s">
        <v>26</v>
      </c>
    </row>
    <row r="81" spans="1:5" x14ac:dyDescent="0.25">
      <c r="A81" s="7">
        <v>0.15</v>
      </c>
      <c r="B81" s="13">
        <f>AVERAGE(F4:F8)</f>
        <v>0.27960000000000002</v>
      </c>
      <c r="C81" s="13">
        <f>AVERAGE(G4:G8)</f>
        <v>0.27698</v>
      </c>
      <c r="D81" s="13">
        <f>AVERAGE(H4:H8)</f>
        <v>0</v>
      </c>
      <c r="E81" s="13">
        <f>AVERAGE(I4:I8)</f>
        <v>4.9445999999999997E-2</v>
      </c>
    </row>
    <row r="82" spans="1:5" x14ac:dyDescent="0.25">
      <c r="A82" s="8">
        <v>0.35</v>
      </c>
      <c r="B82" s="13">
        <f>AVERAGE(F24:F28)</f>
        <v>0.27060000000000006</v>
      </c>
      <c r="C82" s="13">
        <f>AVERAGE(G24:G28)</f>
        <v>0.27698</v>
      </c>
      <c r="D82" s="13">
        <f>AVERAGE(H24:H28)</f>
        <v>0</v>
      </c>
      <c r="E82" s="13">
        <f>AVERAGE(I24:I28)</f>
        <v>3.5687999999999998E-2</v>
      </c>
    </row>
    <row r="83" spans="1:5" x14ac:dyDescent="0.25">
      <c r="A83" s="8">
        <v>0.55000000000000004</v>
      </c>
      <c r="B83" s="13">
        <f>AVERAGE(F43:F47)</f>
        <v>0.26160000000000005</v>
      </c>
      <c r="C83" s="13">
        <f>AVERAGE(G43:G47)</f>
        <v>0.27698</v>
      </c>
      <c r="D83" s="13">
        <f>AVERAGE(H43:H47)</f>
        <v>0</v>
      </c>
      <c r="E83" s="13">
        <f>AVERAGE(I43:I47)</f>
        <v>4.1377999999999998E-2</v>
      </c>
    </row>
    <row r="84" spans="1:5" x14ac:dyDescent="0.25">
      <c r="A84" s="8">
        <v>0.7</v>
      </c>
      <c r="B84" s="13">
        <f>AVERAGE(F62:F66)</f>
        <v>0.26463999999999999</v>
      </c>
      <c r="C84" s="13">
        <f>AVERAGE(G62:G66)</f>
        <v>0.27698</v>
      </c>
      <c r="D84" s="13">
        <f>AVERAGE(H62:H66)</f>
        <v>0</v>
      </c>
      <c r="E84" s="13">
        <f>AVERAGE(I62:I66)</f>
        <v>4.4226000000000001E-2</v>
      </c>
    </row>
    <row r="90" spans="1:5" x14ac:dyDescent="0.25">
      <c r="A90" s="25" t="s">
        <v>3</v>
      </c>
      <c r="B90" s="25"/>
      <c r="C90" s="25"/>
    </row>
    <row r="91" spans="1:5" x14ac:dyDescent="0.25">
      <c r="B91" s="1" t="s">
        <v>0</v>
      </c>
      <c r="C91" s="1" t="s">
        <v>1</v>
      </c>
      <c r="D91" s="10" t="s">
        <v>27</v>
      </c>
      <c r="E91" s="11" t="s">
        <v>26</v>
      </c>
    </row>
    <row r="92" spans="1:5" x14ac:dyDescent="0.25">
      <c r="A92" s="7">
        <v>0.15</v>
      </c>
      <c r="B92" s="2">
        <f>AVERAGE(B12:B16)</f>
        <v>0.30241659999999998</v>
      </c>
      <c r="C92" s="2">
        <f>AVERAGE(C12:C16)</f>
        <v>0.29810560000000003</v>
      </c>
      <c r="D92">
        <v>0</v>
      </c>
      <c r="E92" s="2">
        <f>AVERAGE(E12:E16)</f>
        <v>4.9156239999999997E-2</v>
      </c>
    </row>
    <row r="93" spans="1:5" x14ac:dyDescent="0.25">
      <c r="A93" s="8">
        <v>0.35</v>
      </c>
      <c r="B93" s="2">
        <f>AVERAGE(B32:B36)</f>
        <v>0.30241659999999998</v>
      </c>
      <c r="C93" s="2">
        <f>AVERAGE(C32:C36)</f>
        <v>0.29363600000000001</v>
      </c>
      <c r="D93">
        <v>0</v>
      </c>
      <c r="E93" s="2">
        <f>AVERAGE(E51:E55)</f>
        <v>3.7662399999999999E-2</v>
      </c>
    </row>
    <row r="94" spans="1:5" x14ac:dyDescent="0.25">
      <c r="A94" s="8">
        <v>0.55000000000000004</v>
      </c>
      <c r="B94" s="2">
        <f>AVERAGE(B51:B55)</f>
        <v>0.30241659999999998</v>
      </c>
      <c r="C94" s="2">
        <f>AVERAGE(C51:C55)</f>
        <v>0.28510000000000002</v>
      </c>
      <c r="D94">
        <v>0</v>
      </c>
      <c r="E94" s="2">
        <f>AVERAGE(E51:E55)</f>
        <v>3.7662399999999999E-2</v>
      </c>
    </row>
    <row r="95" spans="1:5" x14ac:dyDescent="0.25">
      <c r="A95" s="8">
        <v>0.7</v>
      </c>
      <c r="B95" s="2">
        <f>AVERAGE(B70:B74)</f>
        <v>0.30241659999999998</v>
      </c>
      <c r="C95" s="2">
        <f>AVERAGE(C70:C74)</f>
        <v>0.28794999999999998</v>
      </c>
      <c r="D95">
        <v>0</v>
      </c>
      <c r="E95" s="2">
        <f>AVERAGE(E70:E74)</f>
        <v>4.4242400000000001E-2</v>
      </c>
    </row>
  </sheetData>
  <mergeCells count="15">
    <mergeCell ref="A30:C30"/>
    <mergeCell ref="A40:G40"/>
    <mergeCell ref="A41:G41"/>
    <mergeCell ref="A49:C49"/>
    <mergeCell ref="A59:G59"/>
    <mergeCell ref="A78:G78"/>
    <mergeCell ref="A79:G79"/>
    <mergeCell ref="A90:C90"/>
    <mergeCell ref="A60:G60"/>
    <mergeCell ref="A68:C68"/>
    <mergeCell ref="A1:G1"/>
    <mergeCell ref="A2:G2"/>
    <mergeCell ref="A10:C10"/>
    <mergeCell ref="A21:G21"/>
    <mergeCell ref="A22:G22"/>
  </mergeCells>
  <phoneticPr fontId="3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FC17E-2A9C-41C3-A7A1-5A3A8E18F4DE}">
  <dimension ref="A1:I65"/>
  <sheetViews>
    <sheetView topLeftCell="A26" zoomScale="70" zoomScaleNormal="70" workbookViewId="0">
      <selection activeCell="I47" sqref="I47"/>
    </sheetView>
  </sheetViews>
  <sheetFormatPr defaultRowHeight="15" x14ac:dyDescent="0.25"/>
  <cols>
    <col min="2" max="2" width="15.85546875" bestFit="1" customWidth="1"/>
    <col min="3" max="3" width="11.5703125" bestFit="1" customWidth="1"/>
    <col min="4" max="4" width="38.28515625" bestFit="1" customWidth="1"/>
    <col min="5" max="5" width="14.85546875" bestFit="1" customWidth="1"/>
    <col min="6" max="6" width="9.5703125" bestFit="1" customWidth="1"/>
    <col min="8" max="8" width="21.85546875" bestFit="1" customWidth="1"/>
    <col min="9" max="9" width="23.28515625" bestFit="1" customWidth="1"/>
  </cols>
  <sheetData>
    <row r="1" spans="1:9" x14ac:dyDescent="0.25">
      <c r="A1" s="20" t="s">
        <v>17</v>
      </c>
      <c r="B1" s="20"/>
      <c r="C1" s="20"/>
      <c r="D1" s="20"/>
      <c r="E1" s="20"/>
      <c r="F1" s="20"/>
      <c r="G1" s="20"/>
    </row>
    <row r="2" spans="1:9" x14ac:dyDescent="0.25">
      <c r="A2" s="23" t="s">
        <v>2</v>
      </c>
      <c r="B2" s="22"/>
      <c r="C2" s="22"/>
      <c r="D2" s="22"/>
      <c r="E2" s="22"/>
      <c r="F2" s="22"/>
      <c r="G2" s="24"/>
    </row>
    <row r="3" spans="1:9" ht="75" x14ac:dyDescent="0.25">
      <c r="A3" s="5"/>
      <c r="B3" s="1" t="s">
        <v>6</v>
      </c>
      <c r="C3" s="4" t="s">
        <v>7</v>
      </c>
      <c r="D3" s="1" t="s">
        <v>8</v>
      </c>
      <c r="E3" s="4" t="s">
        <v>9</v>
      </c>
      <c r="F3" s="1" t="s">
        <v>1</v>
      </c>
      <c r="G3" s="1" t="s">
        <v>0</v>
      </c>
      <c r="H3" s="10" t="s">
        <v>24</v>
      </c>
      <c r="I3" s="11" t="s">
        <v>25</v>
      </c>
    </row>
    <row r="4" spans="1:9" x14ac:dyDescent="0.25">
      <c r="A4" s="1" t="s">
        <v>10</v>
      </c>
      <c r="B4">
        <v>259</v>
      </c>
      <c r="C4">
        <v>229</v>
      </c>
      <c r="D4">
        <v>1782</v>
      </c>
      <c r="E4">
        <v>1627</v>
      </c>
      <c r="F4">
        <v>8</v>
      </c>
      <c r="G4">
        <v>4</v>
      </c>
      <c r="H4">
        <v>1014</v>
      </c>
      <c r="I4">
        <v>506</v>
      </c>
    </row>
    <row r="5" spans="1:9" x14ac:dyDescent="0.25">
      <c r="A5" s="1" t="s">
        <v>11</v>
      </c>
      <c r="B5">
        <v>284</v>
      </c>
      <c r="C5">
        <v>206</v>
      </c>
      <c r="D5">
        <v>1761</v>
      </c>
      <c r="E5">
        <v>1718</v>
      </c>
      <c r="F5">
        <v>8</v>
      </c>
      <c r="G5">
        <v>9</v>
      </c>
      <c r="H5">
        <v>1098</v>
      </c>
      <c r="I5">
        <v>656</v>
      </c>
    </row>
    <row r="6" spans="1:9" x14ac:dyDescent="0.25">
      <c r="A6" s="1" t="s">
        <v>12</v>
      </c>
      <c r="B6">
        <v>106</v>
      </c>
      <c r="C6">
        <v>181</v>
      </c>
      <c r="D6">
        <v>1658</v>
      </c>
      <c r="E6">
        <v>1710</v>
      </c>
      <c r="F6">
        <v>8</v>
      </c>
      <c r="G6">
        <v>17</v>
      </c>
      <c r="H6">
        <v>1406</v>
      </c>
      <c r="I6">
        <v>641</v>
      </c>
    </row>
    <row r="7" spans="1:9" x14ac:dyDescent="0.25">
      <c r="A7" s="1" t="s">
        <v>13</v>
      </c>
      <c r="B7">
        <v>198</v>
      </c>
      <c r="C7">
        <v>70</v>
      </c>
      <c r="D7">
        <v>1808</v>
      </c>
      <c r="E7">
        <v>1554</v>
      </c>
      <c r="F7">
        <v>6</v>
      </c>
      <c r="G7">
        <v>5</v>
      </c>
      <c r="H7">
        <v>1082</v>
      </c>
      <c r="I7">
        <v>473</v>
      </c>
    </row>
    <row r="8" spans="1:9" x14ac:dyDescent="0.25">
      <c r="A8" s="1" t="s">
        <v>14</v>
      </c>
      <c r="B8">
        <v>356</v>
      </c>
      <c r="C8">
        <v>167</v>
      </c>
      <c r="D8">
        <v>2271</v>
      </c>
      <c r="E8">
        <v>1691</v>
      </c>
      <c r="F8">
        <v>23</v>
      </c>
      <c r="G8">
        <v>10</v>
      </c>
      <c r="H8">
        <v>1582</v>
      </c>
      <c r="I8">
        <v>580</v>
      </c>
    </row>
    <row r="13" spans="1:9" x14ac:dyDescent="0.25">
      <c r="A13" s="20" t="s">
        <v>18</v>
      </c>
      <c r="B13" s="20"/>
      <c r="C13" s="20"/>
      <c r="D13" s="20"/>
      <c r="E13" s="20"/>
      <c r="F13" s="20"/>
      <c r="G13" s="20"/>
    </row>
    <row r="14" spans="1:9" x14ac:dyDescent="0.25">
      <c r="A14" s="23" t="s">
        <v>2</v>
      </c>
      <c r="B14" s="22"/>
      <c r="C14" s="22"/>
      <c r="D14" s="22"/>
      <c r="E14" s="22"/>
      <c r="F14" s="22"/>
      <c r="G14" s="24"/>
    </row>
    <row r="15" spans="1:9" ht="75" x14ac:dyDescent="0.25">
      <c r="A15" s="5"/>
      <c r="B15" s="1" t="s">
        <v>6</v>
      </c>
      <c r="C15" s="4" t="s">
        <v>7</v>
      </c>
      <c r="D15" s="1" t="s">
        <v>8</v>
      </c>
      <c r="E15" s="4" t="s">
        <v>9</v>
      </c>
      <c r="F15" s="1" t="s">
        <v>1</v>
      </c>
      <c r="G15" s="1" t="s">
        <v>0</v>
      </c>
      <c r="H15" s="10" t="s">
        <v>24</v>
      </c>
      <c r="I15" s="11" t="s">
        <v>25</v>
      </c>
    </row>
    <row r="16" spans="1:9" x14ac:dyDescent="0.25">
      <c r="A16" s="1" t="s">
        <v>10</v>
      </c>
      <c r="B16">
        <v>648</v>
      </c>
      <c r="C16">
        <v>44</v>
      </c>
      <c r="D16">
        <v>2941</v>
      </c>
      <c r="E16">
        <v>1351</v>
      </c>
      <c r="F16">
        <v>19</v>
      </c>
      <c r="G16">
        <v>4</v>
      </c>
      <c r="H16">
        <v>91</v>
      </c>
      <c r="I16">
        <v>1270</v>
      </c>
    </row>
    <row r="17" spans="1:9" x14ac:dyDescent="0.25">
      <c r="A17" s="1" t="s">
        <v>11</v>
      </c>
      <c r="B17">
        <v>356</v>
      </c>
      <c r="C17">
        <v>769</v>
      </c>
      <c r="D17">
        <v>3408</v>
      </c>
      <c r="E17">
        <v>1615</v>
      </c>
      <c r="F17">
        <v>11</v>
      </c>
      <c r="G17">
        <v>9</v>
      </c>
      <c r="H17">
        <v>1382</v>
      </c>
      <c r="I17">
        <v>821</v>
      </c>
    </row>
    <row r="18" spans="1:9" x14ac:dyDescent="0.25">
      <c r="A18" s="1" t="s">
        <v>12</v>
      </c>
      <c r="B18">
        <v>463</v>
      </c>
      <c r="C18">
        <v>262</v>
      </c>
      <c r="D18">
        <v>2494</v>
      </c>
      <c r="E18">
        <v>1532</v>
      </c>
      <c r="F18">
        <v>26</v>
      </c>
      <c r="G18">
        <v>17</v>
      </c>
      <c r="H18">
        <v>1101</v>
      </c>
      <c r="I18">
        <v>598</v>
      </c>
    </row>
    <row r="19" spans="1:9" x14ac:dyDescent="0.25">
      <c r="A19" s="1" t="s">
        <v>13</v>
      </c>
      <c r="B19">
        <v>100</v>
      </c>
      <c r="C19">
        <v>341</v>
      </c>
      <c r="D19">
        <v>1571</v>
      </c>
      <c r="E19">
        <v>1456</v>
      </c>
      <c r="F19">
        <v>23</v>
      </c>
      <c r="G19">
        <v>5</v>
      </c>
      <c r="H19">
        <v>1011</v>
      </c>
      <c r="I19">
        <v>465</v>
      </c>
    </row>
    <row r="20" spans="1:9" x14ac:dyDescent="0.25">
      <c r="A20" s="1" t="s">
        <v>14</v>
      </c>
      <c r="B20">
        <v>721</v>
      </c>
      <c r="C20">
        <v>63</v>
      </c>
      <c r="D20">
        <v>2266</v>
      </c>
      <c r="E20">
        <v>1464</v>
      </c>
      <c r="F20">
        <v>36</v>
      </c>
      <c r="G20">
        <v>10</v>
      </c>
      <c r="H20">
        <v>1063</v>
      </c>
      <c r="I20">
        <v>887</v>
      </c>
    </row>
    <row r="24" spans="1:9" x14ac:dyDescent="0.25">
      <c r="A24" s="20" t="s">
        <v>19</v>
      </c>
      <c r="B24" s="20"/>
      <c r="C24" s="20"/>
      <c r="D24" s="20"/>
      <c r="E24" s="20"/>
      <c r="F24" s="20"/>
      <c r="G24" s="20"/>
    </row>
    <row r="25" spans="1:9" x14ac:dyDescent="0.25">
      <c r="A25" s="23" t="s">
        <v>2</v>
      </c>
      <c r="B25" s="22"/>
      <c r="C25" s="22"/>
      <c r="D25" s="22"/>
      <c r="E25" s="22"/>
      <c r="F25" s="22"/>
      <c r="G25" s="24"/>
    </row>
    <row r="26" spans="1:9" ht="75" x14ac:dyDescent="0.25">
      <c r="A26" s="5"/>
      <c r="B26" s="1" t="s">
        <v>6</v>
      </c>
      <c r="C26" s="4" t="s">
        <v>7</v>
      </c>
      <c r="D26" s="1" t="s">
        <v>8</v>
      </c>
      <c r="E26" s="4" t="s">
        <v>9</v>
      </c>
      <c r="F26" s="1" t="s">
        <v>1</v>
      </c>
      <c r="G26" s="1" t="s">
        <v>0</v>
      </c>
      <c r="H26" s="10" t="s">
        <v>24</v>
      </c>
      <c r="I26" s="11" t="s">
        <v>25</v>
      </c>
    </row>
    <row r="27" spans="1:9" x14ac:dyDescent="0.25">
      <c r="A27" s="1" t="s">
        <v>10</v>
      </c>
      <c r="B27">
        <v>642</v>
      </c>
      <c r="C27">
        <v>572</v>
      </c>
      <c r="D27">
        <v>2824</v>
      </c>
      <c r="E27">
        <v>1545</v>
      </c>
      <c r="F27">
        <v>22</v>
      </c>
      <c r="G27">
        <v>4</v>
      </c>
      <c r="H27">
        <v>802</v>
      </c>
      <c r="I27">
        <v>328</v>
      </c>
    </row>
    <row r="28" spans="1:9" x14ac:dyDescent="0.25">
      <c r="A28" s="1" t="s">
        <v>11</v>
      </c>
      <c r="B28">
        <v>1029</v>
      </c>
      <c r="C28">
        <v>309</v>
      </c>
      <c r="D28">
        <v>4032</v>
      </c>
      <c r="E28">
        <v>1665</v>
      </c>
      <c r="F28">
        <v>52</v>
      </c>
      <c r="G28">
        <v>9</v>
      </c>
      <c r="H28">
        <v>951</v>
      </c>
      <c r="I28">
        <v>331</v>
      </c>
    </row>
    <row r="29" spans="1:9" x14ac:dyDescent="0.25">
      <c r="A29" s="1" t="s">
        <v>12</v>
      </c>
      <c r="B29">
        <v>789</v>
      </c>
      <c r="C29">
        <v>476</v>
      </c>
      <c r="D29">
        <v>2779</v>
      </c>
      <c r="E29">
        <v>1541</v>
      </c>
      <c r="F29">
        <v>22</v>
      </c>
      <c r="G29">
        <v>17</v>
      </c>
      <c r="H29">
        <v>941</v>
      </c>
      <c r="I29">
        <v>571</v>
      </c>
    </row>
    <row r="30" spans="1:9" x14ac:dyDescent="0.25">
      <c r="A30" s="1" t="s">
        <v>13</v>
      </c>
      <c r="B30">
        <v>630</v>
      </c>
      <c r="C30">
        <v>239</v>
      </c>
      <c r="D30">
        <v>3182</v>
      </c>
      <c r="E30">
        <v>1428</v>
      </c>
      <c r="F30">
        <v>26</v>
      </c>
      <c r="G30">
        <v>5</v>
      </c>
      <c r="H30">
        <v>1029</v>
      </c>
      <c r="I30">
        <v>664</v>
      </c>
    </row>
    <row r="31" spans="1:9" x14ac:dyDescent="0.25">
      <c r="A31" s="1" t="s">
        <v>14</v>
      </c>
      <c r="B31">
        <v>816</v>
      </c>
      <c r="C31">
        <v>655</v>
      </c>
      <c r="D31">
        <v>3595</v>
      </c>
      <c r="E31">
        <v>1377</v>
      </c>
      <c r="F31">
        <v>16</v>
      </c>
      <c r="G31">
        <v>10</v>
      </c>
      <c r="H31">
        <v>1029</v>
      </c>
      <c r="I31">
        <v>274</v>
      </c>
    </row>
    <row r="36" spans="1:9" x14ac:dyDescent="0.25">
      <c r="A36" s="20" t="s">
        <v>20</v>
      </c>
      <c r="B36" s="20"/>
      <c r="C36" s="20"/>
      <c r="D36" s="20"/>
      <c r="E36" s="20"/>
      <c r="F36" s="20"/>
      <c r="G36" s="20"/>
    </row>
    <row r="37" spans="1:9" x14ac:dyDescent="0.25">
      <c r="A37" s="23" t="s">
        <v>2</v>
      </c>
      <c r="B37" s="22"/>
      <c r="C37" s="22"/>
      <c r="D37" s="22"/>
      <c r="E37" s="22"/>
      <c r="F37" s="22"/>
      <c r="G37" s="24"/>
    </row>
    <row r="38" spans="1:9" ht="75" x14ac:dyDescent="0.25">
      <c r="A38" s="5"/>
      <c r="B38" s="1" t="s">
        <v>6</v>
      </c>
      <c r="C38" s="4" t="s">
        <v>7</v>
      </c>
      <c r="D38" s="1" t="s">
        <v>8</v>
      </c>
      <c r="E38" s="4" t="s">
        <v>9</v>
      </c>
      <c r="F38" s="1" t="s">
        <v>1</v>
      </c>
      <c r="G38" s="1" t="s">
        <v>0</v>
      </c>
      <c r="H38" s="10" t="s">
        <v>24</v>
      </c>
      <c r="I38" s="11" t="s">
        <v>25</v>
      </c>
    </row>
    <row r="39" spans="1:9" x14ac:dyDescent="0.25">
      <c r="A39" s="1" t="s">
        <v>10</v>
      </c>
      <c r="B39">
        <v>781</v>
      </c>
      <c r="C39">
        <v>145</v>
      </c>
      <c r="D39">
        <v>1072</v>
      </c>
      <c r="E39">
        <v>1065</v>
      </c>
      <c r="F39">
        <v>19</v>
      </c>
      <c r="G39">
        <v>4</v>
      </c>
      <c r="H39">
        <v>130</v>
      </c>
      <c r="I39">
        <v>327</v>
      </c>
    </row>
    <row r="40" spans="1:9" x14ac:dyDescent="0.25">
      <c r="A40" s="1" t="s">
        <v>11</v>
      </c>
      <c r="B40">
        <v>476</v>
      </c>
      <c r="C40">
        <v>251</v>
      </c>
      <c r="D40">
        <v>1826</v>
      </c>
      <c r="E40">
        <v>896</v>
      </c>
      <c r="F40">
        <v>11</v>
      </c>
      <c r="G40">
        <v>9</v>
      </c>
      <c r="H40">
        <v>134</v>
      </c>
      <c r="I40">
        <v>258</v>
      </c>
    </row>
    <row r="41" spans="1:9" x14ac:dyDescent="0.25">
      <c r="A41" s="1" t="s">
        <v>12</v>
      </c>
      <c r="B41">
        <v>104</v>
      </c>
      <c r="C41">
        <v>594</v>
      </c>
      <c r="D41">
        <v>2481</v>
      </c>
      <c r="E41">
        <v>1053</v>
      </c>
      <c r="F41">
        <v>13</v>
      </c>
      <c r="G41">
        <v>17</v>
      </c>
      <c r="H41">
        <v>142</v>
      </c>
      <c r="I41">
        <v>577</v>
      </c>
    </row>
    <row r="42" spans="1:9" x14ac:dyDescent="0.25">
      <c r="A42" s="1" t="s">
        <v>13</v>
      </c>
      <c r="B42">
        <v>693</v>
      </c>
      <c r="C42">
        <v>171</v>
      </c>
      <c r="D42">
        <v>1632</v>
      </c>
      <c r="E42">
        <v>1067</v>
      </c>
      <c r="F42">
        <v>22</v>
      </c>
      <c r="G42">
        <v>5</v>
      </c>
      <c r="H42">
        <v>124</v>
      </c>
      <c r="I42">
        <v>326</v>
      </c>
    </row>
    <row r="43" spans="1:9" x14ac:dyDescent="0.25">
      <c r="A43" s="1" t="s">
        <v>14</v>
      </c>
      <c r="B43">
        <v>609</v>
      </c>
      <c r="C43">
        <v>478</v>
      </c>
      <c r="D43">
        <v>1023</v>
      </c>
      <c r="E43">
        <v>1070</v>
      </c>
      <c r="F43">
        <v>9</v>
      </c>
      <c r="G43">
        <v>10</v>
      </c>
      <c r="H43">
        <v>119</v>
      </c>
      <c r="I43">
        <v>356</v>
      </c>
    </row>
    <row r="59" spans="1:9" x14ac:dyDescent="0.25">
      <c r="A59" s="19" t="s">
        <v>22</v>
      </c>
      <c r="B59" s="19"/>
      <c r="C59" s="19"/>
      <c r="D59" s="19"/>
      <c r="E59" s="19"/>
      <c r="F59" s="19"/>
      <c r="G59" s="19"/>
    </row>
    <row r="60" spans="1:9" x14ac:dyDescent="0.25">
      <c r="A60" s="23" t="s">
        <v>2</v>
      </c>
      <c r="B60" s="22"/>
      <c r="C60" s="22"/>
      <c r="D60" s="22"/>
      <c r="E60" s="22"/>
      <c r="F60" s="22"/>
      <c r="G60" s="24"/>
    </row>
    <row r="61" spans="1:9" ht="75" x14ac:dyDescent="0.25">
      <c r="A61" s="6"/>
      <c r="B61" s="1" t="s">
        <v>6</v>
      </c>
      <c r="C61" s="4" t="s">
        <v>7</v>
      </c>
      <c r="D61" s="1" t="s">
        <v>8</v>
      </c>
      <c r="E61" s="4" t="s">
        <v>9</v>
      </c>
      <c r="F61" s="1" t="s">
        <v>1</v>
      </c>
      <c r="G61" s="1" t="s">
        <v>0</v>
      </c>
      <c r="H61" s="10" t="s">
        <v>27</v>
      </c>
      <c r="I61" s="11" t="s">
        <v>26</v>
      </c>
    </row>
    <row r="62" spans="1:9" x14ac:dyDescent="0.25">
      <c r="A62" s="7">
        <v>0.15</v>
      </c>
      <c r="B62">
        <f>AVERAGE(B4:B8)</f>
        <v>240.6</v>
      </c>
      <c r="C62">
        <f>AVERAGE(C4:C8)</f>
        <v>170.6</v>
      </c>
      <c r="D62">
        <f>AVERAGE(D4:D8)</f>
        <v>1856</v>
      </c>
      <c r="E62">
        <f t="shared" ref="E62:G62" si="0">AVERAGE(E4:E8)</f>
        <v>1660</v>
      </c>
      <c r="F62">
        <f t="shared" si="0"/>
        <v>10.6</v>
      </c>
      <c r="G62">
        <f t="shared" si="0"/>
        <v>9</v>
      </c>
      <c r="H62">
        <f>AVERAGE(H4:H8)</f>
        <v>1236.4000000000001</v>
      </c>
      <c r="I62">
        <f>AVERAGE(I4:I8)</f>
        <v>571.20000000000005</v>
      </c>
    </row>
    <row r="63" spans="1:9" x14ac:dyDescent="0.25">
      <c r="A63" s="8">
        <v>0.35</v>
      </c>
      <c r="B63">
        <f>AVERAGE(B16:B20)</f>
        <v>457.6</v>
      </c>
      <c r="C63">
        <f>AVERAGE(C16:C20)</f>
        <v>295.8</v>
      </c>
      <c r="D63">
        <f t="shared" ref="D63:G63" si="1">AVERAGE(D16:D20)</f>
        <v>2536</v>
      </c>
      <c r="E63">
        <f t="shared" si="1"/>
        <v>1483.6</v>
      </c>
      <c r="F63">
        <f t="shared" si="1"/>
        <v>23</v>
      </c>
      <c r="G63">
        <f t="shared" si="1"/>
        <v>9</v>
      </c>
      <c r="H63">
        <f>AVERAGE(H16:H20)</f>
        <v>929.6</v>
      </c>
      <c r="I63">
        <f>AVERAGE(I16:I20)</f>
        <v>808.2</v>
      </c>
    </row>
    <row r="64" spans="1:9" x14ac:dyDescent="0.25">
      <c r="A64" s="8">
        <v>0.55000000000000004</v>
      </c>
      <c r="B64">
        <f>AVERAGE(B27:B31)</f>
        <v>781.2</v>
      </c>
      <c r="C64">
        <f t="shared" ref="C64:G64" si="2">AVERAGE(C27:C31)</f>
        <v>450.2</v>
      </c>
      <c r="D64">
        <f t="shared" si="2"/>
        <v>3282.4</v>
      </c>
      <c r="E64">
        <f t="shared" si="2"/>
        <v>1511.2</v>
      </c>
      <c r="F64">
        <f t="shared" si="2"/>
        <v>27.6</v>
      </c>
      <c r="G64">
        <f t="shared" si="2"/>
        <v>9</v>
      </c>
      <c r="H64">
        <f>AVERAGE(H27:H31)</f>
        <v>950.4</v>
      </c>
      <c r="I64">
        <f>AVERAGE(I27:I31)</f>
        <v>433.6</v>
      </c>
    </row>
    <row r="65" spans="1:9" x14ac:dyDescent="0.25">
      <c r="A65" s="8">
        <v>0.7</v>
      </c>
      <c r="B65">
        <f>AVERAGE(B39:B43)</f>
        <v>532.6</v>
      </c>
      <c r="C65">
        <f t="shared" ref="C65:G65" si="3">AVERAGE(C39:C43)</f>
        <v>327.8</v>
      </c>
      <c r="D65">
        <f t="shared" si="3"/>
        <v>1606.8</v>
      </c>
      <c r="E65">
        <f t="shared" si="3"/>
        <v>1030.2</v>
      </c>
      <c r="F65">
        <f t="shared" si="3"/>
        <v>14.8</v>
      </c>
      <c r="G65">
        <f t="shared" si="3"/>
        <v>9</v>
      </c>
      <c r="H65">
        <f>AVERAGE(H39:H43)</f>
        <v>129.80000000000001</v>
      </c>
      <c r="I65">
        <f>AVERAGE(I39:I43)</f>
        <v>368.8</v>
      </c>
    </row>
  </sheetData>
  <mergeCells count="10">
    <mergeCell ref="A59:G59"/>
    <mergeCell ref="A60:G60"/>
    <mergeCell ref="A36:G36"/>
    <mergeCell ref="A37:G37"/>
    <mergeCell ref="A1:G1"/>
    <mergeCell ref="A2:G2"/>
    <mergeCell ref="A13:G13"/>
    <mergeCell ref="A14:G14"/>
    <mergeCell ref="A24:G24"/>
    <mergeCell ref="A25:G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Edge Cuts</vt:lpstr>
      <vt:lpstr>Runtimes</vt:lpstr>
      <vt:lpstr>CCM</vt:lpstr>
      <vt:lpstr>Contiguity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Alhassan Satii Aalshareedah</cp:lastModifiedBy>
  <dcterms:created xsi:type="dcterms:W3CDTF">2024-07-31T23:17:36Z</dcterms:created>
  <dcterms:modified xsi:type="dcterms:W3CDTF">2025-01-29T16:29:19Z</dcterms:modified>
</cp:coreProperties>
</file>
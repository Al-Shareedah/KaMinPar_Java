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SISR Script\Experiments data\Contraction Limit\"/>
    </mc:Choice>
  </mc:AlternateContent>
  <xr:revisionPtr revIDLastSave="0" documentId="13_ncr:1_{4798F07F-A932-4293-AC6A-308557BB13E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dge Cuts" sheetId="1" r:id="rId1"/>
    <sheet name="Runtimes" sheetId="3" r:id="rId2"/>
    <sheet name="CCM" sheetId="5" r:id="rId3"/>
    <sheet name="Contiguit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H68" i="1"/>
  <c r="H69" i="1"/>
  <c r="H66" i="1"/>
  <c r="G67" i="1"/>
  <c r="G68" i="1"/>
  <c r="G69" i="1"/>
  <c r="G66" i="1"/>
  <c r="F67" i="1"/>
  <c r="F68" i="1"/>
  <c r="F69" i="1"/>
  <c r="F66" i="1"/>
  <c r="E67" i="1"/>
  <c r="E68" i="1"/>
  <c r="E69" i="1"/>
  <c r="E66" i="1"/>
  <c r="H65" i="7"/>
  <c r="I65" i="7"/>
  <c r="I62" i="7"/>
  <c r="I64" i="7"/>
  <c r="H64" i="7"/>
  <c r="I63" i="7"/>
  <c r="H63" i="7"/>
  <c r="H62" i="7"/>
  <c r="E81" i="5"/>
  <c r="E95" i="5"/>
  <c r="E94" i="5"/>
  <c r="E93" i="5"/>
  <c r="E92" i="5"/>
  <c r="E84" i="5"/>
  <c r="D84" i="5"/>
  <c r="E83" i="5"/>
  <c r="D83" i="5"/>
  <c r="E82" i="5"/>
  <c r="D82" i="5"/>
  <c r="D81" i="5"/>
  <c r="G51" i="3"/>
  <c r="I54" i="3"/>
  <c r="H54" i="3"/>
  <c r="I53" i="3"/>
  <c r="H53" i="3"/>
  <c r="I52" i="3"/>
  <c r="H52" i="3"/>
  <c r="I51" i="3"/>
  <c r="H51" i="3"/>
  <c r="H54" i="1"/>
  <c r="I57" i="1"/>
  <c r="H57" i="1"/>
  <c r="I56" i="1"/>
  <c r="H56" i="1"/>
  <c r="I55" i="1"/>
  <c r="H55" i="1"/>
  <c r="I54" i="1"/>
  <c r="B62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B63" i="7"/>
  <c r="G62" i="7"/>
  <c r="F62" i="7"/>
  <c r="E62" i="7"/>
  <c r="D62" i="7"/>
  <c r="C62" i="7"/>
  <c r="C92" i="5"/>
  <c r="C95" i="5"/>
  <c r="C94" i="5"/>
  <c r="C93" i="5"/>
  <c r="B95" i="5"/>
  <c r="B94" i="5"/>
  <c r="B93" i="5"/>
  <c r="B92" i="5"/>
  <c r="C84" i="5"/>
  <c r="C83" i="5"/>
  <c r="C82" i="5"/>
  <c r="C81" i="5"/>
  <c r="B84" i="5"/>
  <c r="B83" i="5"/>
  <c r="B82" i="5"/>
  <c r="B81" i="5"/>
  <c r="D51" i="3"/>
  <c r="C54" i="3"/>
  <c r="C53" i="3"/>
  <c r="C52" i="3"/>
  <c r="C51" i="3"/>
  <c r="B53" i="3"/>
  <c r="B52" i="3"/>
  <c r="B51" i="3"/>
  <c r="G54" i="3"/>
  <c r="F54" i="3"/>
  <c r="E54" i="3"/>
  <c r="D54" i="3"/>
  <c r="B54" i="3"/>
  <c r="G53" i="3"/>
  <c r="F53" i="3"/>
  <c r="E53" i="3"/>
  <c r="D53" i="3"/>
  <c r="G52" i="3"/>
  <c r="F52" i="3"/>
  <c r="E52" i="3"/>
  <c r="D52" i="3"/>
  <c r="F51" i="3"/>
  <c r="E51" i="3"/>
  <c r="G57" i="1"/>
  <c r="G56" i="1"/>
  <c r="G55" i="1"/>
  <c r="G54" i="1"/>
  <c r="F57" i="1"/>
  <c r="F56" i="1"/>
  <c r="F55" i="1"/>
  <c r="F54" i="1"/>
  <c r="E57" i="1"/>
  <c r="E56" i="1"/>
  <c r="E55" i="1"/>
  <c r="E54" i="1"/>
  <c r="D57" i="1"/>
  <c r="D56" i="1"/>
  <c r="D55" i="1"/>
  <c r="D54" i="1"/>
  <c r="C57" i="1"/>
  <c r="C56" i="1"/>
  <c r="C55" i="1"/>
  <c r="C54" i="1"/>
  <c r="B57" i="1"/>
  <c r="B56" i="1"/>
  <c r="B55" i="1"/>
  <c r="B54" i="1"/>
</calcChain>
</file>

<file path=xl/sharedStrings.xml><?xml version="1.0" encoding="utf-8"?>
<sst xmlns="http://schemas.openxmlformats.org/spreadsheetml/2006/main" count="328" uniqueCount="31">
  <si>
    <t>KaHIP</t>
  </si>
  <si>
    <t>KaMinPar</t>
  </si>
  <si>
    <t>Average Connected Components</t>
  </si>
  <si>
    <t>Average percentage by which partitions missed the desired size</t>
  </si>
  <si>
    <t>f = [0.7, 0.3, 0, -0.3, -0.7]</t>
  </si>
  <si>
    <t>Edge Cut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</si>
  <si>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</si>
  <si>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</si>
  <si>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</si>
  <si>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</si>
  <si>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Result 1</t>
  </si>
  <si>
    <t>Result 2</t>
  </si>
  <si>
    <t>Result 3</t>
  </si>
  <si>
    <t>Result 4</t>
  </si>
  <si>
    <t>Result 5</t>
  </si>
  <si>
    <t>Runtimes</t>
  </si>
  <si>
    <t>CCM</t>
  </si>
  <si>
    <t>K = 4, Graph = Email, Contraction = 15%, f = [0.3]</t>
  </si>
  <si>
    <t>K = 4, Graph = Email, Contraction = 35%, f = [0.3]</t>
  </si>
  <si>
    <t>K = 4, Graph = Email, Contraction = 15%, f = [0.3] Contraction limit = 482</t>
  </si>
  <si>
    <t>K = 4, Graph = Email, Contraction = 55%, f = [0.3]</t>
  </si>
  <si>
    <t>K = 4, Graph = Email, Contraction = 55%, f = [0.3], CONTRACTION_LIMIT = 255</t>
  </si>
  <si>
    <t>K = 4, Graph = Email, Contraction = 70%, f = [0.3], CONTRACTION_LIMIT = 170</t>
  </si>
  <si>
    <t>Average</t>
  </si>
  <si>
    <t>Average Results</t>
  </si>
  <si>
    <t>Deep Multilevel, ε= 0.0</t>
  </si>
  <si>
    <t>Deep Multilevel, ε = 0.05</t>
  </si>
  <si>
    <t>Partition sizes = [447, 313, 219, 154]</t>
  </si>
  <si>
    <t>K = 4, Graph = Email, Contraction = 35%, f = [0.3] CL= 368</t>
  </si>
  <si>
    <t>Deep Multilevel, ε = 5</t>
  </si>
  <si>
    <t>Deep Multilevel, ε=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</si>
</sst>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 applyAlignment="1">
      <alignment vertical="center"/>
    </xf>
    <xf numFmtId="9" fontId="1" fillId="0" borderId="1" xfId="0" applyNumberFormat="1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3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0" fontId="2" fillId="0" borderId="0" xfId="0" applyNumberFormat="1" applyFont="1"/>
    <xf numFmtId="0" fontId="0" fillId="4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Cuts'!$F$53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Cuts'!$F$54:$F$57</c:f>
              <c:numCache>
                <c:formatCode>General</c:formatCode>
                <c:ptCount val="4"/>
                <c:pt idx="0">
                  <c:v>1366.8</c:v>
                </c:pt>
                <c:pt idx="1">
                  <c:v>1447.6</c:v>
                </c:pt>
                <c:pt idx="2">
                  <c:v>1459.6</c:v>
                </c:pt>
                <c:pt idx="3">
                  <c:v>1445.4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00-4F3F-86E5-9135E69189FA}"/>
            </c:ext>
          </c:extLst>
        </c:ser>
        <c:ser>
          <c:idx val="5"/>
          <c:order val="5"/>
          <c:tx>
            <c:strRef>
              <c:f>'Edge Cuts'!$G$53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Cuts'!$G$54:$G$57</c:f>
              <c:numCache>
                <c:formatCode>General</c:formatCode>
                <c:ptCount val="4"/>
                <c:pt idx="0">
                  <c:v>1301.4000000000001</c:v>
                </c:pt>
                <c:pt idx="1">
                  <c:v>1301.4000000000001</c:v>
                </c:pt>
                <c:pt idx="2">
                  <c:v>1301.4000000000001</c:v>
                </c:pt>
                <c:pt idx="3">
                  <c:v>1301.4000000000001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00-4F3F-86E5-9135E69189FA}"/>
            </c:ext>
          </c:extLst>
        </c:ser>
        <c:ser>
          <c:idx val="6"/>
          <c:order val="6"/>
          <c:tx>
            <c:strRef>
              <c:f>'Edge Cuts'!$H$53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Cuts'!$H$54:$H$57</c:f>
              <c:numCache>
                <c:formatCode>General</c:formatCode>
                <c:ptCount val="4"/>
                <c:pt idx="0">
                  <c:v>1683</c:v>
                </c:pt>
                <c:pt idx="1">
                  <c:v>1406.2</c:v>
                </c:pt>
                <c:pt idx="2">
                  <c:v>1526.2</c:v>
                </c:pt>
                <c:pt idx="3">
                  <c:v>1609.2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10-4DAE-AC42-2D603E3A33F1}"/>
            </c:ext>
          </c:extLst>
        </c:ser>
        <c:ser>
          <c:idx val="7"/>
          <c:order val="7"/>
          <c:tx>
            <c:strRef>
              <c:f>'Edge Cuts'!$I$53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Cuts'!$I$54:$I$57</c:f>
              <c:numCache>
                <c:formatCode>General</c:formatCode>
                <c:ptCount val="4"/>
                <c:pt idx="0">
                  <c:v>1595.4</c:v>
                </c:pt>
                <c:pt idx="1">
                  <c:v>1517.6</c:v>
                </c:pt>
                <c:pt idx="2">
                  <c:v>1543.2</c:v>
                </c:pt>
                <c:pt idx="3">
                  <c:v>1549.8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10-4DAE-AC42-2D603E3A3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25136"/>
        <c:axId val="337184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Cuts'!$B$53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Cuts'!$B$54:$B$57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3178.2</c:v>
                      </c:pt>
                      <c:pt idx="1">
                        <c:v>2938.8</c:v>
                      </c:pt>
                      <c:pt idx="2">
                        <c:v>2928.8</c:v>
                      </c:pt>
                      <c:pt idx="3">
                        <c:v>2528.8000000000002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4E00-4F3F-86E5-9135E69189F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Cuts'!$C$54:$C$57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3062.6</c:v>
                      </c:pt>
                      <c:pt idx="1">
                        <c:v>2931.8</c:v>
                      </c:pt>
                      <c:pt idx="2">
                        <c:v>2899.6</c:v>
                      </c:pt>
                      <c:pt idx="3">
                        <c:v>2579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E00-4F3F-86E5-9135E69189F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Cuts'!$D$54:$D$57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3391.2</c:v>
                      </c:pt>
                      <c:pt idx="1">
                        <c:v>3210</c:v>
                      </c:pt>
                      <c:pt idx="2">
                        <c:v>3141.2</c:v>
                      </c:pt>
                      <c:pt idx="3">
                        <c:v>2807.8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E00-4F3F-86E5-9135E69189F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Cuts'!$E$54:$E$57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3350.4</c:v>
                      </c:pt>
                      <c:pt idx="1">
                        <c:v>3173.4</c:v>
                      </c:pt>
                      <c:pt idx="2">
                        <c:v>3143.2</c:v>
                      </c:pt>
                      <c:pt idx="3">
                        <c:v>2838.4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E00-4F3F-86E5-9135E69189FA}"/>
                  </c:ext>
                </c:extLst>
              </c15:ser>
            </c15:filteredScatterSeries>
          </c:ext>
        </c:extLst>
      </c:scatterChart>
      <c:valAx>
        <c:axId val="3372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8416"/>
        <c:crosses val="autoZero"/>
        <c:crossBetween val="midCat"/>
      </c:valAx>
      <c:valAx>
        <c:axId val="337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as Contraction Limit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Cuts'!$E$65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Cuts'!$D$66:$D$69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Cuts'!$E$66:$E$69</c:f>
              <c:numCache>
                <c:formatCode>0%</c:formatCode>
                <c:ptCount val="4"/>
                <c:pt idx="0">
                  <c:v>-5.0253573075149729E-2</c:v>
                </c:pt>
                <c:pt idx="1">
                  <c:v>-0.11234055632395866</c:v>
                </c:pt>
                <c:pt idx="2">
                  <c:v>-0.12156139542031644</c:v>
                </c:pt>
                <c:pt idx="3">
                  <c:v>-0.11065006915629322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4-483C-849D-0D0321525027}"/>
            </c:ext>
          </c:extLst>
        </c:ser>
        <c:ser>
          <c:idx val="1"/>
          <c:order val="1"/>
          <c:tx>
            <c:strRef>
              <c:f>'Edge Cuts'!$F$65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Cuts'!$D$66:$D$69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Cuts'!$F$66:$F$69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C4-483C-849D-0D0321525027}"/>
            </c:ext>
          </c:extLst>
        </c:ser>
        <c:ser>
          <c:idx val="2"/>
          <c:order val="2"/>
          <c:tx>
            <c:strRef>
              <c:f>'Edge Cuts'!$G$65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Cuts'!$D$66:$D$69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Cuts'!$G$66:$G$69</c:f>
              <c:numCache>
                <c:formatCode>0%</c:formatCode>
                <c:ptCount val="4"/>
                <c:pt idx="0">
                  <c:v>-0.29322268326417694</c:v>
                </c:pt>
                <c:pt idx="1">
                  <c:v>-8.0528661441524471E-2</c:v>
                </c:pt>
                <c:pt idx="2">
                  <c:v>-0.17273705240510215</c:v>
                </c:pt>
                <c:pt idx="3">
                  <c:v>-0.2365145228215767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C4-483C-849D-0D0321525027}"/>
            </c:ext>
          </c:extLst>
        </c:ser>
        <c:ser>
          <c:idx val="3"/>
          <c:order val="3"/>
          <c:tx>
            <c:strRef>
              <c:f>'Edge Cuts'!$H$65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Cuts'!$D$66:$D$69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Cuts'!$H$66:$H$69</c:f>
              <c:numCache>
                <c:formatCode>0%</c:formatCode>
                <c:ptCount val="4"/>
                <c:pt idx="0">
                  <c:v>-0.2259105578607653</c:v>
                </c:pt>
                <c:pt idx="1">
                  <c:v>-0.16612878438604564</c:v>
                </c:pt>
                <c:pt idx="2">
                  <c:v>-0.18579990779160899</c:v>
                </c:pt>
                <c:pt idx="3">
                  <c:v>-0.19087136929460569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C4-483C-849D-0D0321525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429695"/>
        <c:axId val="279434975"/>
      </c:scatterChart>
      <c:valAx>
        <c:axId val="27942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Precentage of Contraction 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34975"/>
        <c:crosses val="autoZero"/>
        <c:crossBetween val="midCat"/>
      </c:valAx>
      <c:valAx>
        <c:axId val="27943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Percentage of Decline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29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Runtimes!$F$51:$F$54</c:f>
              <c:numCache>
                <c:formatCode>General</c:formatCode>
                <c:ptCount val="4"/>
                <c:pt idx="0">
                  <c:v>0.90900000000000003</c:v>
                </c:pt>
                <c:pt idx="1">
                  <c:v>0.59920000000000007</c:v>
                </c:pt>
                <c:pt idx="2">
                  <c:v>0.99339999999999995</c:v>
                </c:pt>
                <c:pt idx="3">
                  <c:v>0.74259999999999993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1A-4E64-9C00-65C9C64FCEB8}"/>
            </c:ext>
          </c:extLst>
        </c:ser>
        <c:ser>
          <c:idx val="5"/>
          <c:order val="5"/>
          <c:tx>
            <c:strRef>
              <c:f>Runtimes!$G$50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Runtimes!$G$51:$G$54</c:f>
              <c:numCache>
                <c:formatCode>General</c:formatCode>
                <c:ptCount val="4"/>
                <c:pt idx="0">
                  <c:v>0.80980000000000008</c:v>
                </c:pt>
                <c:pt idx="1">
                  <c:v>0.80980000000000008</c:v>
                </c:pt>
                <c:pt idx="2">
                  <c:v>0.80980000000000008</c:v>
                </c:pt>
                <c:pt idx="3">
                  <c:v>0.80980000000000008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1A-4E64-9C00-65C9C64FCEB8}"/>
            </c:ext>
          </c:extLst>
        </c:ser>
        <c:ser>
          <c:idx val="6"/>
          <c:order val="6"/>
          <c:tx>
            <c:strRef>
              <c:f>Runtimes!$H$50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Runtimes!$H$51:$H$54</c:f>
              <c:numCache>
                <c:formatCode>General</c:formatCode>
                <c:ptCount val="4"/>
                <c:pt idx="0">
                  <c:v>0.75439999999999996</c:v>
                </c:pt>
                <c:pt idx="1">
                  <c:v>0.67999999999999994</c:v>
                </c:pt>
                <c:pt idx="2">
                  <c:v>0.77100000000000002</c:v>
                </c:pt>
                <c:pt idx="3">
                  <c:v>4.0469999999999997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E-41A2-9040-89DD72110739}"/>
            </c:ext>
          </c:extLst>
        </c:ser>
        <c:ser>
          <c:idx val="7"/>
          <c:order val="7"/>
          <c:tx>
            <c:strRef>
              <c:f>Runtimes!$I$50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Runtimes!$I$51:$I$54</c:f>
              <c:numCache>
                <c:formatCode>General</c:formatCode>
                <c:ptCount val="4"/>
                <c:pt idx="0">
                  <c:v>0.75800000000000001</c:v>
                </c:pt>
                <c:pt idx="1">
                  <c:v>0.74979999999999991</c:v>
                </c:pt>
                <c:pt idx="2">
                  <c:v>0.78659999999999997</c:v>
                </c:pt>
                <c:pt idx="3">
                  <c:v>3.1444000000000001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AE-41A2-9040-89DD7211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29456"/>
        <c:axId val="33731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Runtimes!$B$50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Runtimes!$B$51:$B$54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4.6486000000000001</c:v>
                      </c:pt>
                      <c:pt idx="1">
                        <c:v>4.1193999999999997</c:v>
                      </c:pt>
                      <c:pt idx="2">
                        <c:v>3.1993999999999998</c:v>
                      </c:pt>
                      <c:pt idx="3">
                        <c:v>2.3959999999999999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61A-4E64-9C00-65C9C64FCEB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Runtimes!$C$51:$C$54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4.6164000000000005</c:v>
                      </c:pt>
                      <c:pt idx="1">
                        <c:v>4.0656000000000008</c:v>
                      </c:pt>
                      <c:pt idx="2">
                        <c:v>3.3850000000000002</c:v>
                      </c:pt>
                      <c:pt idx="3">
                        <c:v>2.5343999999999998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61A-4E64-9C00-65C9C64FCEB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Runtimes!$D$51:$D$54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0.4556</c:v>
                      </c:pt>
                      <c:pt idx="1">
                        <c:v>0.47499999999999998</c:v>
                      </c:pt>
                      <c:pt idx="2">
                        <c:v>0.31480000000000002</c:v>
                      </c:pt>
                      <c:pt idx="3">
                        <c:v>0.47319999999999995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61A-4E64-9C00-65C9C64FCEB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Runtimes!$E$51:$E$54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0.3548</c:v>
                      </c:pt>
                      <c:pt idx="1">
                        <c:v>0.32079999999999997</c:v>
                      </c:pt>
                      <c:pt idx="2">
                        <c:v>0.2838</c:v>
                      </c:pt>
                      <c:pt idx="3">
                        <c:v>0.29560000000000003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61A-4E64-9C00-65C9C64FCEB8}"/>
                  </c:ext>
                </c:extLst>
              </c15:ser>
            </c15:filteredScatterSeries>
          </c:ext>
        </c:extLst>
      </c:scatterChart>
      <c:valAx>
        <c:axId val="3372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1376"/>
        <c:crosses val="autoZero"/>
        <c:crossBetween val="midCat"/>
      </c:valAx>
      <c:valAx>
        <c:axId val="337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</a:t>
                </a:r>
                <a:r>
                  <a:rPr lang="en-US" sz="1600" baseline="0"/>
                  <a:t> in Seconds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9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eorgia" panose="02040502050405020303" pitchFamily="18" charset="0"/>
                <a:cs typeface="Arial" panose="020B0604020202020204" pitchFamily="34" charset="0"/>
              </a:rPr>
              <a:t>Cardinality Compliance Metric (CCM)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CCM!$B$80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CCM!$B$81:$B$84</c:f>
              <c:numCache>
                <c:formatCode>0%</c:formatCode>
                <c:ptCount val="4"/>
                <c:pt idx="0">
                  <c:v>0.25680000000000003</c:v>
                </c:pt>
                <c:pt idx="1">
                  <c:v>0.25919999999999999</c:v>
                </c:pt>
                <c:pt idx="2">
                  <c:v>0.25759999999999994</c:v>
                </c:pt>
                <c:pt idx="3">
                  <c:v>0.25944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57-416B-AC5C-AC579E1FEE0F}"/>
            </c:ext>
          </c:extLst>
        </c:ser>
        <c:ser>
          <c:idx val="1"/>
          <c:order val="1"/>
          <c:tx>
            <c:strRef>
              <c:f>CCM!$C$80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CCM!$C$81:$C$84</c:f>
              <c:numCache>
                <c:formatCode>0%</c:formatCode>
                <c:ptCount val="4"/>
                <c:pt idx="0">
                  <c:v>0.27698</c:v>
                </c:pt>
                <c:pt idx="1">
                  <c:v>0.27698</c:v>
                </c:pt>
                <c:pt idx="2">
                  <c:v>0.27698</c:v>
                </c:pt>
                <c:pt idx="3">
                  <c:v>0.27698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57-416B-AC5C-AC579E1FEE0F}"/>
            </c:ext>
          </c:extLst>
        </c:ser>
        <c:ser>
          <c:idx val="2"/>
          <c:order val="2"/>
          <c:tx>
            <c:strRef>
              <c:f>CCM!$D$80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CCM!$D$81:$D$84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8F-4F15-ABD6-A374386EFC45}"/>
            </c:ext>
          </c:extLst>
        </c:ser>
        <c:ser>
          <c:idx val="3"/>
          <c:order val="3"/>
          <c:tx>
            <c:strRef>
              <c:f>CCM!$E$80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CCM!$E$81:$E$84</c:f>
              <c:numCache>
                <c:formatCode>0%</c:formatCode>
                <c:ptCount val="4"/>
                <c:pt idx="0">
                  <c:v>2.5231200000000002E-2</c:v>
                </c:pt>
                <c:pt idx="1">
                  <c:v>3.3140000000000003E-2</c:v>
                </c:pt>
                <c:pt idx="2">
                  <c:v>3.2440000000000004E-2</c:v>
                </c:pt>
                <c:pt idx="3">
                  <c:v>1.3763999999999998E-2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8F-4F15-ABD6-A374386EF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609408"/>
        <c:axId val="1841610368"/>
      </c:scatterChart>
      <c:valAx>
        <c:axId val="18416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610368"/>
        <c:crosses val="autoZero"/>
        <c:crossBetween val="midCat"/>
      </c:valAx>
      <c:valAx>
        <c:axId val="184161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60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Mean Deviation Percentage from Desired Partition Size</a:t>
            </a:r>
            <a:endParaRPr lang="en-US" sz="2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CCM!$B$91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CCM!$B$92:$B$95</c:f>
              <c:numCache>
                <c:formatCode>0.00%</c:formatCode>
                <c:ptCount val="4"/>
                <c:pt idx="0">
                  <c:v>0.30241659999999998</c:v>
                </c:pt>
                <c:pt idx="1">
                  <c:v>0.30241659999999998</c:v>
                </c:pt>
                <c:pt idx="2">
                  <c:v>0.30241659999999998</c:v>
                </c:pt>
                <c:pt idx="3">
                  <c:v>0.30241659999999998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E3-4274-B12D-B5E8DE910784}"/>
            </c:ext>
          </c:extLst>
        </c:ser>
        <c:ser>
          <c:idx val="1"/>
          <c:order val="1"/>
          <c:tx>
            <c:strRef>
              <c:f>CCM!$C$91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CCM!$C$92:$C$95</c:f>
              <c:numCache>
                <c:formatCode>0.00%</c:formatCode>
                <c:ptCount val="4"/>
                <c:pt idx="0">
                  <c:v>0.27826459999999997</c:v>
                </c:pt>
                <c:pt idx="1">
                  <c:v>0.28278579999999998</c:v>
                </c:pt>
                <c:pt idx="2">
                  <c:v>0.28114400000000001</c:v>
                </c:pt>
                <c:pt idx="3">
                  <c:v>0.28495399999999999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E3-4274-B12D-B5E8DE910784}"/>
            </c:ext>
          </c:extLst>
        </c:ser>
        <c:ser>
          <c:idx val="2"/>
          <c:order val="2"/>
          <c:tx>
            <c:strRef>
              <c:f>CCM!$D$91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CCM!$D$92:$D$95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28-4B78-9712-2BDA86E7C296}"/>
            </c:ext>
          </c:extLst>
        </c:ser>
        <c:ser>
          <c:idx val="3"/>
          <c:order val="3"/>
          <c:tx>
            <c:strRef>
              <c:f>CCM!$E$91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CCM!$E$92:$E$95</c:f>
              <c:numCache>
                <c:formatCode>0.00%</c:formatCode>
                <c:ptCount val="4"/>
                <c:pt idx="0">
                  <c:v>2.5296000000000003E-2</c:v>
                </c:pt>
                <c:pt idx="1">
                  <c:v>3.696E-2</c:v>
                </c:pt>
                <c:pt idx="2">
                  <c:v>3.696E-2</c:v>
                </c:pt>
                <c:pt idx="3">
                  <c:v>4.0677959999999999E-2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28-4B78-9712-2BDA86E7C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5040"/>
        <c:axId val="34186000"/>
      </c:scatterChart>
      <c:valAx>
        <c:axId val="3418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 of Contraction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6000"/>
        <c:crosses val="autoZero"/>
        <c:crossBetween val="midCat"/>
      </c:valAx>
      <c:valAx>
        <c:axId val="341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5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Contiguity!$F$62:$F$65</c:f>
              <c:numCache>
                <c:formatCode>General</c:formatCode>
                <c:ptCount val="4"/>
                <c:pt idx="0">
                  <c:v>18</c:v>
                </c:pt>
                <c:pt idx="1">
                  <c:v>16.2</c:v>
                </c:pt>
                <c:pt idx="2">
                  <c:v>20.8</c:v>
                </c:pt>
                <c:pt idx="3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25-4CF0-A873-C672B3A2497D}"/>
            </c:ext>
          </c:extLst>
        </c:ser>
        <c:ser>
          <c:idx val="5"/>
          <c:order val="5"/>
          <c:tx>
            <c:strRef>
              <c:f>Contiguity!$G$61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Contiguity!$G$62:$G$65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25-4CF0-A873-C672B3A2497D}"/>
            </c:ext>
          </c:extLst>
        </c:ser>
        <c:ser>
          <c:idx val="6"/>
          <c:order val="6"/>
          <c:tx>
            <c:strRef>
              <c:f>Contiguity!$H$61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Contiguity!$H$62:$H$65</c:f>
              <c:numCache>
                <c:formatCode>General</c:formatCode>
                <c:ptCount val="4"/>
                <c:pt idx="0">
                  <c:v>154.80000000000001</c:v>
                </c:pt>
                <c:pt idx="1">
                  <c:v>126.4</c:v>
                </c:pt>
                <c:pt idx="2">
                  <c:v>116.8</c:v>
                </c:pt>
                <c:pt idx="3">
                  <c:v>123.4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E5-4F09-AE3D-65C59605B9E3}"/>
            </c:ext>
          </c:extLst>
        </c:ser>
        <c:ser>
          <c:idx val="7"/>
          <c:order val="7"/>
          <c:tx>
            <c:strRef>
              <c:f>Contiguity!$I$61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Contiguity!$I$62:$I$65</c:f>
              <c:numCache>
                <c:formatCode>General</c:formatCode>
                <c:ptCount val="4"/>
                <c:pt idx="0">
                  <c:v>86.4</c:v>
                </c:pt>
                <c:pt idx="1">
                  <c:v>72.599999999999994</c:v>
                </c:pt>
                <c:pt idx="2">
                  <c:v>70.2</c:v>
                </c:pt>
                <c:pt idx="3">
                  <c:v>155.4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E5-4F09-AE3D-65C59605B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393152"/>
        <c:axId val="13963792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Contiguity!$B$62:$B$65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18.8</c:v>
                      </c:pt>
                      <c:pt idx="1">
                        <c:v>53.2</c:v>
                      </c:pt>
                      <c:pt idx="2">
                        <c:v>28.2</c:v>
                      </c:pt>
                      <c:pt idx="3">
                        <c:v>42.6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C25-4CF0-A873-C672B3A2497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Contiguity!$C$62:$C$65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5.2</c:v>
                      </c:pt>
                      <c:pt idx="1">
                        <c:v>29.6</c:v>
                      </c:pt>
                      <c:pt idx="2">
                        <c:v>31.8</c:v>
                      </c:pt>
                      <c:pt idx="3">
                        <c:v>19.2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C25-4CF0-A873-C672B3A2497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Contiguity!$D$62:$D$65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182.6</c:v>
                      </c:pt>
                      <c:pt idx="1">
                        <c:v>154.80000000000001</c:v>
                      </c:pt>
                      <c:pt idx="2">
                        <c:v>133.19999999999999</c:v>
                      </c:pt>
                      <c:pt idx="3">
                        <c:v>72.8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25-4CF0-A873-C672B3A2497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Contiguity!$E$62:$E$65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172.2</c:v>
                      </c:pt>
                      <c:pt idx="1">
                        <c:v>166.4</c:v>
                      </c:pt>
                      <c:pt idx="2">
                        <c:v>147</c:v>
                      </c:pt>
                      <c:pt idx="3">
                        <c:v>89.2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25-4CF0-A873-C672B3A2497D}"/>
                  </c:ext>
                </c:extLst>
              </c15:ser>
            </c15:filteredScatterSeries>
          </c:ext>
        </c:extLst>
      </c:scatterChart>
      <c:valAx>
        <c:axId val="139639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79232"/>
        <c:crosses val="autoZero"/>
        <c:crossBetween val="midCat"/>
      </c:valAx>
      <c:valAx>
        <c:axId val="13963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9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22412</xdr:colOff>
      <xdr:row>47</xdr:row>
      <xdr:rowOff>63593</xdr:rowOff>
    </xdr:from>
    <xdr:to>
      <xdr:col>23</xdr:col>
      <xdr:colOff>145677</xdr:colOff>
      <xdr:row>69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20CE7-C632-3A1E-FE87-12F34BB58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151278</xdr:colOff>
      <xdr:row>71</xdr:row>
      <xdr:rowOff>158002</xdr:rowOff>
    </xdr:from>
    <xdr:to>
      <xdr:col>10</xdr:col>
      <xdr:colOff>89646</xdr:colOff>
      <xdr:row>97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8671F-5085-6357-44E6-85840931F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272144</xdr:colOff>
      <xdr:row>58</xdr:row>
      <xdr:rowOff>0</xdr:rowOff>
    </xdr:from>
    <xdr:to>
      <xdr:col>20</xdr:col>
      <xdr:colOff>355656</xdr:colOff>
      <xdr:row>81</xdr:row>
      <xdr:rowOff>18500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30794B-1544-6AF9-8BBB-5B41B3E8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15" y="13906500"/>
          <a:ext cx="6819048" cy="4400000"/>
        </a:xfrm>
        <a:prstGeom prst="rect">
          <a:avLst/>
        </a:prstGeom>
      </xdr:spPr>
    </xdr:pic>
    <xdr:clientData/>
  </xdr:twoCellAnchor>
  <xdr:twoCellAnchor>
    <xdr:from>
      <xdr:col>3</xdr:col>
      <xdr:colOff>240846</xdr:colOff>
      <xdr:row>58</xdr:row>
      <xdr:rowOff>71436</xdr:rowOff>
    </xdr:from>
    <xdr:to>
      <xdr:col>8</xdr:col>
      <xdr:colOff>734786</xdr:colOff>
      <xdr:row>81</xdr:row>
      <xdr:rowOff>81643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207DF-273E-6432-D74D-787BF3500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355225</xdr:colOff>
      <xdr:row>99</xdr:row>
      <xdr:rowOff>3081</xdr:rowOff>
    </xdr:from>
    <xdr:to>
      <xdr:col>13</xdr:col>
      <xdr:colOff>470646</xdr:colOff>
      <xdr:row>122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E514B7-9F2A-089A-B23A-235CC170D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773764</xdr:colOff>
      <xdr:row>99</xdr:row>
      <xdr:rowOff>4201</xdr:rowOff>
    </xdr:from>
    <xdr:to>
      <xdr:col>4</xdr:col>
      <xdr:colOff>1456764</xdr:colOff>
      <xdr:row>121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62444-1407-FFFB-77C1-F36A2AAB2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881900</xdr:colOff>
      <xdr:row>68</xdr:row>
      <xdr:rowOff>82082</xdr:rowOff>
    </xdr:from>
    <xdr:to>
      <xdr:col>8</xdr:col>
      <xdr:colOff>1445559</xdr:colOff>
      <xdr:row>91</xdr:row>
      <xdr:rowOff>112060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12C2AD-EEB0-EBE8-72D3-A135F6B0F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opLeftCell="A58" zoomScale="85" zoomScaleNormal="85" workbookViewId="0">
      <selection activeCell="G66" sqref="G66"/>
    </sheetView>
  </sheetViews>
  <sheetFormatPr defaultRowHeight="15" x14ac:dyDescent="0.25"/>
  <cols>
    <col min="1" max="1" width="13.5703125" bestFit="1" customWidth="1"/>
    <col min="2" max="2" width="24.28515625" bestFit="1" customWidth="1"/>
    <col min="3" max="3" width="22.140625" bestFit="1" customWidth="1"/>
    <col min="4" max="4" width="38.28515625" bestFit="1" customWidth="1"/>
    <col min="5" max="5" width="35.42578125" bestFit="1" customWidth="1"/>
    <col min="8" max="8" width="21.85546875" bestFit="1" customWidth="1"/>
    <col min="9" max="9" width="23.28515625" bestFit="1" customWidth="1"/>
  </cols>
  <sheetData>
    <row r="1" spans="1:9" x14ac:dyDescent="0.25">
      <c r="C1" t="s">
        <v>4</v>
      </c>
      <c r="E1" t="s">
        <v>27</v>
      </c>
    </row>
    <row r="2" spans="1:9" x14ac:dyDescent="0.25">
      <c r="A2" s="14" t="s">
        <v>19</v>
      </c>
      <c r="B2" s="14"/>
      <c r="C2" s="14"/>
      <c r="D2" s="14"/>
      <c r="E2" s="14"/>
      <c r="F2" s="14"/>
      <c r="G2" s="14"/>
    </row>
    <row r="3" spans="1:9" x14ac:dyDescent="0.25">
      <c r="A3" s="15" t="s">
        <v>5</v>
      </c>
      <c r="B3" s="15"/>
      <c r="C3" s="15"/>
      <c r="D3" s="15"/>
      <c r="E3" s="15"/>
      <c r="F3" s="15"/>
      <c r="G3" s="15"/>
    </row>
    <row r="4" spans="1:9" ht="30" x14ac:dyDescent="0.25">
      <c r="A4" s="3"/>
      <c r="B4" s="1" t="s">
        <v>6</v>
      </c>
      <c r="C4" s="4" t="s">
        <v>7</v>
      </c>
      <c r="D4" s="1" t="s">
        <v>8</v>
      </c>
      <c r="E4" s="4" t="s">
        <v>9</v>
      </c>
      <c r="F4" s="1" t="s">
        <v>1</v>
      </c>
      <c r="G4" s="1" t="s">
        <v>0</v>
      </c>
      <c r="H4" s="10" t="s">
        <v>25</v>
      </c>
      <c r="I4" s="11" t="s">
        <v>26</v>
      </c>
    </row>
    <row r="5" spans="1:9" x14ac:dyDescent="0.25">
      <c r="A5" s="1" t="s">
        <v>10</v>
      </c>
      <c r="B5">
        <v>3183</v>
      </c>
      <c r="C5">
        <v>3089</v>
      </c>
      <c r="D5">
        <v>3383</v>
      </c>
      <c r="E5">
        <v>3389</v>
      </c>
      <c r="F5">
        <v>1490</v>
      </c>
      <c r="G5">
        <v>1271</v>
      </c>
      <c r="H5">
        <v>1405</v>
      </c>
      <c r="I5">
        <v>1376</v>
      </c>
    </row>
    <row r="6" spans="1:9" x14ac:dyDescent="0.25">
      <c r="A6" s="1" t="s">
        <v>11</v>
      </c>
      <c r="B6">
        <v>3139</v>
      </c>
      <c r="C6">
        <v>3087</v>
      </c>
      <c r="D6">
        <v>3394</v>
      </c>
      <c r="E6">
        <v>3342</v>
      </c>
      <c r="F6">
        <v>1303</v>
      </c>
      <c r="G6">
        <v>1376</v>
      </c>
      <c r="H6">
        <v>1977</v>
      </c>
      <c r="I6">
        <v>1663</v>
      </c>
    </row>
    <row r="7" spans="1:9" x14ac:dyDescent="0.25">
      <c r="A7" s="1" t="s">
        <v>12</v>
      </c>
      <c r="B7">
        <v>3241</v>
      </c>
      <c r="C7">
        <v>3068</v>
      </c>
      <c r="D7">
        <v>3407</v>
      </c>
      <c r="E7">
        <v>3334</v>
      </c>
      <c r="F7">
        <v>1362</v>
      </c>
      <c r="G7">
        <v>1302</v>
      </c>
      <c r="H7">
        <v>1811</v>
      </c>
      <c r="I7">
        <v>1690</v>
      </c>
    </row>
    <row r="8" spans="1:9" x14ac:dyDescent="0.25">
      <c r="A8" s="1" t="s">
        <v>13</v>
      </c>
      <c r="B8">
        <v>3100</v>
      </c>
      <c r="C8">
        <v>3140</v>
      </c>
      <c r="D8">
        <v>3378</v>
      </c>
      <c r="E8">
        <v>3351</v>
      </c>
      <c r="F8">
        <v>1337</v>
      </c>
      <c r="G8">
        <v>1273</v>
      </c>
      <c r="H8">
        <v>1404</v>
      </c>
      <c r="I8">
        <v>1628</v>
      </c>
    </row>
    <row r="9" spans="1:9" x14ac:dyDescent="0.25">
      <c r="A9" s="1" t="s">
        <v>14</v>
      </c>
      <c r="B9">
        <v>3228</v>
      </c>
      <c r="C9">
        <v>2929</v>
      </c>
      <c r="D9">
        <v>3394</v>
      </c>
      <c r="E9">
        <v>3336</v>
      </c>
      <c r="F9">
        <v>1342</v>
      </c>
      <c r="G9">
        <v>1285</v>
      </c>
      <c r="H9">
        <v>1818</v>
      </c>
      <c r="I9">
        <v>1620</v>
      </c>
    </row>
    <row r="14" spans="1:9" x14ac:dyDescent="0.25">
      <c r="C14" t="s">
        <v>4</v>
      </c>
    </row>
    <row r="15" spans="1:9" x14ac:dyDescent="0.25">
      <c r="A15" s="14" t="s">
        <v>28</v>
      </c>
      <c r="B15" s="14"/>
      <c r="C15" s="14"/>
      <c r="D15" s="14"/>
      <c r="E15" s="14"/>
      <c r="F15" s="14"/>
      <c r="G15" s="14"/>
    </row>
    <row r="16" spans="1:9" x14ac:dyDescent="0.25">
      <c r="A16" s="16" t="s">
        <v>5</v>
      </c>
      <c r="B16" s="16"/>
      <c r="C16" s="16"/>
      <c r="D16" s="16"/>
      <c r="E16" s="16"/>
      <c r="F16" s="16"/>
      <c r="G16" s="16"/>
    </row>
    <row r="17" spans="1:9" ht="30" x14ac:dyDescent="0.25">
      <c r="A17" s="3"/>
      <c r="B17" s="1" t="s">
        <v>6</v>
      </c>
      <c r="C17" s="4" t="s">
        <v>7</v>
      </c>
      <c r="D17" s="1" t="s">
        <v>8</v>
      </c>
      <c r="E17" s="4" t="s">
        <v>9</v>
      </c>
      <c r="F17" s="1" t="s">
        <v>1</v>
      </c>
      <c r="G17" s="1" t="s">
        <v>0</v>
      </c>
      <c r="H17" s="10" t="s">
        <v>25</v>
      </c>
      <c r="I17" s="11" t="s">
        <v>26</v>
      </c>
    </row>
    <row r="18" spans="1:9" x14ac:dyDescent="0.25">
      <c r="A18" s="1" t="s">
        <v>10</v>
      </c>
      <c r="B18">
        <v>2867</v>
      </c>
      <c r="C18">
        <v>2910</v>
      </c>
      <c r="D18">
        <v>3257</v>
      </c>
      <c r="E18">
        <v>3236</v>
      </c>
      <c r="F18">
        <v>1443</v>
      </c>
      <c r="G18">
        <v>1271</v>
      </c>
      <c r="H18">
        <v>1242</v>
      </c>
      <c r="I18">
        <v>1507</v>
      </c>
    </row>
    <row r="19" spans="1:9" x14ac:dyDescent="0.25">
      <c r="A19" s="1" t="s">
        <v>11</v>
      </c>
      <c r="B19">
        <v>2887</v>
      </c>
      <c r="C19">
        <v>3032</v>
      </c>
      <c r="D19">
        <v>3284</v>
      </c>
      <c r="E19">
        <v>3215</v>
      </c>
      <c r="F19">
        <v>1484</v>
      </c>
      <c r="G19">
        <v>1376</v>
      </c>
      <c r="H19">
        <v>1443</v>
      </c>
      <c r="I19">
        <v>1347</v>
      </c>
    </row>
    <row r="20" spans="1:9" x14ac:dyDescent="0.25">
      <c r="A20" s="1" t="s">
        <v>12</v>
      </c>
      <c r="B20">
        <v>2943</v>
      </c>
      <c r="C20">
        <v>2923</v>
      </c>
      <c r="D20">
        <v>3226</v>
      </c>
      <c r="E20">
        <v>3084</v>
      </c>
      <c r="F20">
        <v>1470</v>
      </c>
      <c r="G20">
        <v>1302</v>
      </c>
      <c r="H20">
        <v>1694</v>
      </c>
      <c r="I20">
        <v>1679</v>
      </c>
    </row>
    <row r="21" spans="1:9" x14ac:dyDescent="0.25">
      <c r="A21" s="1" t="s">
        <v>13</v>
      </c>
      <c r="B21">
        <v>2998</v>
      </c>
      <c r="C21">
        <v>2898</v>
      </c>
      <c r="D21">
        <v>3077</v>
      </c>
      <c r="E21">
        <v>3194</v>
      </c>
      <c r="F21">
        <v>1437</v>
      </c>
      <c r="G21">
        <v>1273</v>
      </c>
      <c r="H21">
        <v>1274</v>
      </c>
      <c r="I21">
        <v>1614</v>
      </c>
    </row>
    <row r="22" spans="1:9" x14ac:dyDescent="0.25">
      <c r="A22" s="1" t="s">
        <v>14</v>
      </c>
      <c r="B22">
        <v>2999</v>
      </c>
      <c r="C22">
        <v>2896</v>
      </c>
      <c r="D22">
        <v>3206</v>
      </c>
      <c r="E22">
        <v>3138</v>
      </c>
      <c r="F22">
        <v>1404</v>
      </c>
      <c r="G22">
        <v>1285</v>
      </c>
      <c r="H22">
        <v>1378</v>
      </c>
      <c r="I22">
        <v>1441</v>
      </c>
    </row>
    <row r="27" spans="1:9" x14ac:dyDescent="0.25">
      <c r="C27" t="s">
        <v>4</v>
      </c>
    </row>
    <row r="28" spans="1:9" x14ac:dyDescent="0.25">
      <c r="A28" s="14" t="s">
        <v>21</v>
      </c>
      <c r="B28" s="14"/>
      <c r="C28" s="14"/>
      <c r="D28" s="14"/>
      <c r="E28" s="14"/>
      <c r="F28" s="14"/>
      <c r="G28" s="14"/>
    </row>
    <row r="29" spans="1:9" x14ac:dyDescent="0.25">
      <c r="A29" s="15" t="s">
        <v>5</v>
      </c>
      <c r="B29" s="15"/>
      <c r="C29" s="15"/>
      <c r="D29" s="15"/>
      <c r="E29" s="15"/>
      <c r="F29" s="15"/>
      <c r="G29" s="15"/>
    </row>
    <row r="30" spans="1:9" ht="30" x14ac:dyDescent="0.25">
      <c r="A30" s="3"/>
      <c r="B30" s="1" t="s">
        <v>6</v>
      </c>
      <c r="C30" s="4" t="s">
        <v>7</v>
      </c>
      <c r="D30" s="1" t="s">
        <v>8</v>
      </c>
      <c r="E30" s="4" t="s">
        <v>9</v>
      </c>
      <c r="F30" s="1" t="s">
        <v>1</v>
      </c>
      <c r="G30" s="1" t="s">
        <v>0</v>
      </c>
      <c r="H30" s="10" t="s">
        <v>25</v>
      </c>
      <c r="I30" s="11" t="s">
        <v>26</v>
      </c>
    </row>
    <row r="31" spans="1:9" x14ac:dyDescent="0.25">
      <c r="A31" s="1" t="s">
        <v>10</v>
      </c>
      <c r="B31">
        <v>2812</v>
      </c>
      <c r="C31">
        <v>2869</v>
      </c>
      <c r="D31">
        <v>3100</v>
      </c>
      <c r="E31">
        <v>3163</v>
      </c>
      <c r="F31">
        <v>1368</v>
      </c>
      <c r="G31">
        <v>1271</v>
      </c>
      <c r="H31">
        <v>1620</v>
      </c>
      <c r="I31">
        <v>1546</v>
      </c>
    </row>
    <row r="32" spans="1:9" x14ac:dyDescent="0.25">
      <c r="A32" s="1" t="s">
        <v>11</v>
      </c>
      <c r="B32">
        <v>3073</v>
      </c>
      <c r="C32">
        <v>2792</v>
      </c>
      <c r="D32">
        <v>3137</v>
      </c>
      <c r="E32">
        <v>3146</v>
      </c>
      <c r="F32">
        <v>1435</v>
      </c>
      <c r="G32">
        <v>1376</v>
      </c>
      <c r="H32">
        <v>1526</v>
      </c>
      <c r="I32">
        <v>1481</v>
      </c>
    </row>
    <row r="33" spans="1:9" x14ac:dyDescent="0.25">
      <c r="A33" s="1" t="s">
        <v>12</v>
      </c>
      <c r="B33">
        <v>3058</v>
      </c>
      <c r="C33">
        <v>2997</v>
      </c>
      <c r="D33">
        <v>3164</v>
      </c>
      <c r="E33">
        <v>3163</v>
      </c>
      <c r="F33">
        <v>1546</v>
      </c>
      <c r="G33">
        <v>1302</v>
      </c>
      <c r="H33">
        <v>1473</v>
      </c>
      <c r="I33">
        <v>1650</v>
      </c>
    </row>
    <row r="34" spans="1:9" x14ac:dyDescent="0.25">
      <c r="A34" s="1" t="s">
        <v>13</v>
      </c>
      <c r="B34">
        <v>2976</v>
      </c>
      <c r="C34">
        <v>2875</v>
      </c>
      <c r="D34">
        <v>3103</v>
      </c>
      <c r="E34">
        <v>3188</v>
      </c>
      <c r="F34">
        <v>1426</v>
      </c>
      <c r="G34">
        <v>1273</v>
      </c>
      <c r="H34">
        <v>1425</v>
      </c>
      <c r="I34">
        <v>1633</v>
      </c>
    </row>
    <row r="35" spans="1:9" x14ac:dyDescent="0.25">
      <c r="A35" s="1" t="s">
        <v>14</v>
      </c>
      <c r="B35">
        <v>2725</v>
      </c>
      <c r="C35">
        <v>2965</v>
      </c>
      <c r="D35">
        <v>3202</v>
      </c>
      <c r="E35">
        <v>3056</v>
      </c>
      <c r="F35">
        <v>1523</v>
      </c>
      <c r="G35">
        <v>1285</v>
      </c>
      <c r="H35">
        <v>1587</v>
      </c>
      <c r="I35">
        <v>1406</v>
      </c>
    </row>
    <row r="40" spans="1:9" x14ac:dyDescent="0.25">
      <c r="C40" t="s">
        <v>4</v>
      </c>
    </row>
    <row r="41" spans="1:9" x14ac:dyDescent="0.25">
      <c r="A41" s="14" t="s">
        <v>22</v>
      </c>
      <c r="B41" s="14"/>
      <c r="C41" s="14"/>
      <c r="D41" s="14"/>
      <c r="E41" s="14"/>
      <c r="F41" s="14"/>
      <c r="G41" s="14"/>
    </row>
    <row r="42" spans="1:9" x14ac:dyDescent="0.25">
      <c r="A42" s="15" t="s">
        <v>5</v>
      </c>
      <c r="B42" s="15"/>
      <c r="C42" s="15"/>
      <c r="D42" s="15"/>
      <c r="E42" s="15"/>
      <c r="F42" s="15"/>
      <c r="G42" s="15"/>
    </row>
    <row r="43" spans="1:9" ht="30" x14ac:dyDescent="0.25">
      <c r="A43" s="3"/>
      <c r="B43" s="1" t="s">
        <v>6</v>
      </c>
      <c r="C43" s="4" t="s">
        <v>7</v>
      </c>
      <c r="D43" s="1" t="s">
        <v>8</v>
      </c>
      <c r="E43" s="4" t="s">
        <v>9</v>
      </c>
      <c r="F43" s="1" t="s">
        <v>1</v>
      </c>
      <c r="G43" s="1" t="s">
        <v>0</v>
      </c>
      <c r="H43" s="10" t="s">
        <v>25</v>
      </c>
      <c r="I43" s="11" t="s">
        <v>26</v>
      </c>
    </row>
    <row r="44" spans="1:9" x14ac:dyDescent="0.25">
      <c r="A44" s="1" t="s">
        <v>10</v>
      </c>
      <c r="B44">
        <v>2463</v>
      </c>
      <c r="C44">
        <v>2513</v>
      </c>
      <c r="D44">
        <v>2819</v>
      </c>
      <c r="E44">
        <v>2901</v>
      </c>
      <c r="F44">
        <v>1492</v>
      </c>
      <c r="G44">
        <v>1271</v>
      </c>
      <c r="H44">
        <v>1657</v>
      </c>
      <c r="I44">
        <v>1402</v>
      </c>
    </row>
    <row r="45" spans="1:9" x14ac:dyDescent="0.25">
      <c r="A45" s="1" t="s">
        <v>11</v>
      </c>
      <c r="B45">
        <v>2617</v>
      </c>
      <c r="C45">
        <v>2420</v>
      </c>
      <c r="D45">
        <v>2908</v>
      </c>
      <c r="E45">
        <v>2906</v>
      </c>
      <c r="F45">
        <v>1482</v>
      </c>
      <c r="G45">
        <v>1376</v>
      </c>
      <c r="H45">
        <v>1988</v>
      </c>
      <c r="I45">
        <v>1735</v>
      </c>
    </row>
    <row r="46" spans="1:9" x14ac:dyDescent="0.25">
      <c r="A46" s="1" t="s">
        <v>12</v>
      </c>
      <c r="B46">
        <v>2616</v>
      </c>
      <c r="C46">
        <v>2588</v>
      </c>
      <c r="D46">
        <v>2668</v>
      </c>
      <c r="E46">
        <v>2770</v>
      </c>
      <c r="F46">
        <v>1461</v>
      </c>
      <c r="G46">
        <v>1302</v>
      </c>
      <c r="H46">
        <v>1572</v>
      </c>
      <c r="I46">
        <v>1688</v>
      </c>
    </row>
    <row r="47" spans="1:9" x14ac:dyDescent="0.25">
      <c r="A47" s="1" t="s">
        <v>13</v>
      </c>
      <c r="B47">
        <v>2405</v>
      </c>
      <c r="C47">
        <v>2748</v>
      </c>
      <c r="D47">
        <v>2841</v>
      </c>
      <c r="E47">
        <v>2879</v>
      </c>
      <c r="F47">
        <v>1390</v>
      </c>
      <c r="G47">
        <v>1273</v>
      </c>
      <c r="H47">
        <v>1413</v>
      </c>
      <c r="I47">
        <v>1511</v>
      </c>
    </row>
    <row r="48" spans="1:9" x14ac:dyDescent="0.25">
      <c r="A48" s="1" t="s">
        <v>14</v>
      </c>
      <c r="B48">
        <v>2543</v>
      </c>
      <c r="C48">
        <v>2626</v>
      </c>
      <c r="D48">
        <v>2803</v>
      </c>
      <c r="E48">
        <v>2736</v>
      </c>
      <c r="F48">
        <v>1402</v>
      </c>
      <c r="G48">
        <v>1285</v>
      </c>
      <c r="H48">
        <v>1416</v>
      </c>
      <c r="I48">
        <v>1413</v>
      </c>
    </row>
    <row r="52" spans="1:9" x14ac:dyDescent="0.25">
      <c r="A52" s="13" t="s">
        <v>23</v>
      </c>
      <c r="B52" s="13"/>
      <c r="C52" s="13"/>
      <c r="D52" s="13"/>
      <c r="E52" s="13"/>
      <c r="F52" s="13"/>
      <c r="G52" s="13"/>
    </row>
    <row r="53" spans="1:9" ht="30" x14ac:dyDescent="0.25">
      <c r="A53" s="3"/>
      <c r="B53" s="1" t="s">
        <v>6</v>
      </c>
      <c r="C53" s="4" t="s">
        <v>7</v>
      </c>
      <c r="D53" s="1" t="s">
        <v>8</v>
      </c>
      <c r="E53" s="4" t="s">
        <v>9</v>
      </c>
      <c r="F53" s="1" t="s">
        <v>1</v>
      </c>
      <c r="G53" s="1" t="s">
        <v>0</v>
      </c>
      <c r="H53" s="10" t="s">
        <v>30</v>
      </c>
      <c r="I53" s="11" t="s">
        <v>29</v>
      </c>
    </row>
    <row r="54" spans="1:9" x14ac:dyDescent="0.25">
      <c r="A54" s="8">
        <v>0.15</v>
      </c>
      <c r="B54">
        <f t="shared" ref="B54:G54" si="0">AVERAGE(B5:B9)</f>
        <v>3178.2</v>
      </c>
      <c r="C54">
        <f t="shared" si="0"/>
        <v>3062.6</v>
      </c>
      <c r="D54">
        <f t="shared" si="0"/>
        <v>3391.2</v>
      </c>
      <c r="E54">
        <f t="shared" si="0"/>
        <v>3350.4</v>
      </c>
      <c r="F54">
        <f t="shared" si="0"/>
        <v>1366.8</v>
      </c>
      <c r="G54">
        <f t="shared" si="0"/>
        <v>1301.4000000000001</v>
      </c>
      <c r="H54">
        <f>AVERAGE(H5:H9)</f>
        <v>1683</v>
      </c>
      <c r="I54">
        <f>AVERAGE(I5:I9)</f>
        <v>1595.4</v>
      </c>
    </row>
    <row r="55" spans="1:9" x14ac:dyDescent="0.25">
      <c r="A55" s="9">
        <v>0.35</v>
      </c>
      <c r="B55">
        <f t="shared" ref="B55:G55" si="1">AVERAGE(B18:B22)</f>
        <v>2938.8</v>
      </c>
      <c r="C55">
        <f t="shared" si="1"/>
        <v>2931.8</v>
      </c>
      <c r="D55">
        <f t="shared" si="1"/>
        <v>3210</v>
      </c>
      <c r="E55">
        <f t="shared" si="1"/>
        <v>3173.4</v>
      </c>
      <c r="F55">
        <f t="shared" si="1"/>
        <v>1447.6</v>
      </c>
      <c r="G55">
        <f t="shared" si="1"/>
        <v>1301.4000000000001</v>
      </c>
      <c r="H55">
        <f>AVERAGE(H18:H22)</f>
        <v>1406.2</v>
      </c>
      <c r="I55">
        <f>AVERAGE(I18:I22)</f>
        <v>1517.6</v>
      </c>
    </row>
    <row r="56" spans="1:9" x14ac:dyDescent="0.25">
      <c r="A56" s="9">
        <v>0.55000000000000004</v>
      </c>
      <c r="B56">
        <f t="shared" ref="B56:G56" si="2">AVERAGE(B31:B35)</f>
        <v>2928.8</v>
      </c>
      <c r="C56">
        <f t="shared" si="2"/>
        <v>2899.6</v>
      </c>
      <c r="D56">
        <f t="shared" si="2"/>
        <v>3141.2</v>
      </c>
      <c r="E56">
        <f t="shared" si="2"/>
        <v>3143.2</v>
      </c>
      <c r="F56">
        <f t="shared" si="2"/>
        <v>1459.6</v>
      </c>
      <c r="G56">
        <f t="shared" si="2"/>
        <v>1301.4000000000001</v>
      </c>
      <c r="H56">
        <f>AVERAGE(H31:H35)</f>
        <v>1526.2</v>
      </c>
      <c r="I56">
        <f>AVERAGE(I31:I35)</f>
        <v>1543.2</v>
      </c>
    </row>
    <row r="57" spans="1:9" x14ac:dyDescent="0.25">
      <c r="A57" s="9">
        <v>0.7</v>
      </c>
      <c r="B57">
        <f t="shared" ref="B57:G57" si="3">AVERAGE(B44:B48)</f>
        <v>2528.8000000000002</v>
      </c>
      <c r="C57">
        <f t="shared" si="3"/>
        <v>2579</v>
      </c>
      <c r="D57">
        <f t="shared" si="3"/>
        <v>2807.8</v>
      </c>
      <c r="E57">
        <f t="shared" si="3"/>
        <v>2838.4</v>
      </c>
      <c r="F57">
        <f t="shared" si="3"/>
        <v>1445.4</v>
      </c>
      <c r="G57">
        <f t="shared" si="3"/>
        <v>1301.4000000000001</v>
      </c>
      <c r="H57">
        <f>AVERAGE(H44:H48)</f>
        <v>1609.2</v>
      </c>
      <c r="I57">
        <f>AVERAGE(I44:I48)</f>
        <v>1549.8</v>
      </c>
    </row>
    <row r="65" spans="4:8" x14ac:dyDescent="0.25">
      <c r="D65" s="3"/>
      <c r="E65" s="1" t="s">
        <v>1</v>
      </c>
      <c r="F65" s="1" t="s">
        <v>0</v>
      </c>
      <c r="G65" s="10" t="s">
        <v>30</v>
      </c>
      <c r="H65" s="11" t="s">
        <v>29</v>
      </c>
    </row>
    <row r="66" spans="4:8" x14ac:dyDescent="0.25">
      <c r="D66" s="8">
        <v>0.15</v>
      </c>
      <c r="E66" s="21">
        <f>(G54 - F54) / G54</f>
        <v>-5.0253573075149729E-2</v>
      </c>
      <c r="F66" s="21">
        <f>(G54 - G54) / G54</f>
        <v>0</v>
      </c>
      <c r="G66" s="21">
        <f>(G54 - H54) / G54</f>
        <v>-0.29322268326417694</v>
      </c>
      <c r="H66" s="21">
        <f>(G54 - I54) / G54</f>
        <v>-0.2259105578607653</v>
      </c>
    </row>
    <row r="67" spans="4:8" x14ac:dyDescent="0.25">
      <c r="D67" s="9">
        <v>0.35</v>
      </c>
      <c r="E67" s="21">
        <f t="shared" ref="E67:E69" si="4">(G55 - F55) / G55</f>
        <v>-0.11234055632395866</v>
      </c>
      <c r="F67" s="21">
        <f t="shared" ref="F67:F69" si="5">(G55 - G55) / G55</f>
        <v>0</v>
      </c>
      <c r="G67" s="21">
        <f t="shared" ref="G67:G69" si="6">(G55 - H55) / G55</f>
        <v>-8.0528661441524471E-2</v>
      </c>
      <c r="H67" s="21">
        <f t="shared" ref="H67:H69" si="7">(G55 - I55) / G55</f>
        <v>-0.16612878438604564</v>
      </c>
    </row>
    <row r="68" spans="4:8" x14ac:dyDescent="0.25">
      <c r="D68" s="9">
        <v>0.55000000000000004</v>
      </c>
      <c r="E68" s="21">
        <f t="shared" si="4"/>
        <v>-0.12156139542031644</v>
      </c>
      <c r="F68" s="21">
        <f t="shared" si="5"/>
        <v>0</v>
      </c>
      <c r="G68" s="21">
        <f t="shared" si="6"/>
        <v>-0.17273705240510215</v>
      </c>
      <c r="H68" s="21">
        <f t="shared" si="7"/>
        <v>-0.18579990779160899</v>
      </c>
    </row>
    <row r="69" spans="4:8" x14ac:dyDescent="0.25">
      <c r="D69" s="9">
        <v>0.7</v>
      </c>
      <c r="E69" s="21">
        <f t="shared" si="4"/>
        <v>-0.11065006915629322</v>
      </c>
      <c r="F69" s="21">
        <f t="shared" si="5"/>
        <v>0</v>
      </c>
      <c r="G69" s="21">
        <f t="shared" si="6"/>
        <v>-0.2365145228215767</v>
      </c>
      <c r="H69" s="21">
        <f t="shared" si="7"/>
        <v>-0.19087136929460569</v>
      </c>
    </row>
  </sheetData>
  <mergeCells count="9">
    <mergeCell ref="A52:G52"/>
    <mergeCell ref="A41:G41"/>
    <mergeCell ref="A42:G42"/>
    <mergeCell ref="A2:G2"/>
    <mergeCell ref="A3:G3"/>
    <mergeCell ref="A15:G15"/>
    <mergeCell ref="A16:G16"/>
    <mergeCell ref="A28:G28"/>
    <mergeCell ref="A29:G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topLeftCell="A48" zoomScale="70" zoomScaleNormal="70" workbookViewId="0">
      <selection activeCell="H57" sqref="H57"/>
    </sheetView>
  </sheetViews>
  <sheetFormatPr defaultRowHeight="15" x14ac:dyDescent="0.25"/>
  <cols>
    <col min="2" max="3" width="15.85546875" bestFit="1" customWidth="1"/>
    <col min="4" max="4" width="38.28515625" bestFit="1" customWidth="1"/>
    <col min="5" max="5" width="15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17</v>
      </c>
      <c r="B1" s="14"/>
      <c r="C1" s="14"/>
      <c r="D1" s="14"/>
      <c r="E1" s="14"/>
      <c r="F1" s="14"/>
      <c r="G1" s="14"/>
    </row>
    <row r="2" spans="1:9" x14ac:dyDescent="0.25">
      <c r="A2" s="17" t="s">
        <v>15</v>
      </c>
      <c r="B2" s="16"/>
      <c r="C2" s="16"/>
      <c r="D2" s="16"/>
      <c r="E2" s="16"/>
      <c r="F2" s="16"/>
      <c r="G2" s="18"/>
    </row>
    <row r="3" spans="1:9" ht="60" x14ac:dyDescent="0.25">
      <c r="A3" s="5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25</v>
      </c>
      <c r="I3" s="11" t="s">
        <v>26</v>
      </c>
    </row>
    <row r="4" spans="1:9" x14ac:dyDescent="0.25">
      <c r="A4" s="1" t="s">
        <v>10</v>
      </c>
      <c r="B4">
        <v>4.7140000000000004</v>
      </c>
      <c r="C4">
        <v>4.9050000000000002</v>
      </c>
      <c r="D4">
        <v>0.40699999999999997</v>
      </c>
      <c r="E4">
        <v>0.38700000000000001</v>
      </c>
      <c r="F4">
        <v>1.57</v>
      </c>
      <c r="G4">
        <v>0.82399999999999995</v>
      </c>
      <c r="H4">
        <v>0.64600000000000002</v>
      </c>
      <c r="I4">
        <v>0.83299999999999996</v>
      </c>
    </row>
    <row r="5" spans="1:9" x14ac:dyDescent="0.25">
      <c r="A5" s="1" t="s">
        <v>11</v>
      </c>
      <c r="B5">
        <v>4.8410000000000002</v>
      </c>
      <c r="C5">
        <v>4.3739999999999997</v>
      </c>
      <c r="D5">
        <v>0.51</v>
      </c>
      <c r="E5">
        <v>0.35399999999999998</v>
      </c>
      <c r="F5">
        <v>0.753</v>
      </c>
      <c r="G5">
        <v>0.80400000000000005</v>
      </c>
      <c r="H5">
        <v>0.76900000000000002</v>
      </c>
      <c r="I5">
        <v>0.68500000000000005</v>
      </c>
    </row>
    <row r="6" spans="1:9" x14ac:dyDescent="0.25">
      <c r="A6" s="1" t="s">
        <v>12</v>
      </c>
      <c r="B6">
        <v>4.7279999999999998</v>
      </c>
      <c r="C6">
        <v>4.6660000000000004</v>
      </c>
      <c r="D6">
        <v>0.441</v>
      </c>
      <c r="E6">
        <v>0.36099999999999999</v>
      </c>
      <c r="F6">
        <v>0.68899999999999995</v>
      </c>
      <c r="G6">
        <v>0.77900000000000003</v>
      </c>
      <c r="H6">
        <v>0.76700000000000002</v>
      </c>
      <c r="I6">
        <v>0.73</v>
      </c>
    </row>
    <row r="7" spans="1:9" x14ac:dyDescent="0.25">
      <c r="A7" s="1" t="s">
        <v>13</v>
      </c>
      <c r="B7">
        <v>4.4240000000000004</v>
      </c>
      <c r="C7">
        <v>4.5839999999999996</v>
      </c>
      <c r="D7">
        <v>0.47199999999999998</v>
      </c>
      <c r="E7">
        <v>0.32600000000000001</v>
      </c>
      <c r="F7">
        <v>0.85099999999999998</v>
      </c>
      <c r="G7">
        <v>0.86699999999999999</v>
      </c>
      <c r="H7">
        <v>0.69399999999999995</v>
      </c>
      <c r="I7">
        <v>0.79900000000000004</v>
      </c>
    </row>
    <row r="8" spans="1:9" x14ac:dyDescent="0.25">
      <c r="A8" s="1" t="s">
        <v>14</v>
      </c>
      <c r="B8">
        <v>4.5359999999999996</v>
      </c>
      <c r="C8">
        <v>4.5529999999999999</v>
      </c>
      <c r="D8">
        <v>0.44800000000000001</v>
      </c>
      <c r="E8">
        <v>0.34599999999999997</v>
      </c>
      <c r="F8">
        <v>0.68200000000000005</v>
      </c>
      <c r="G8">
        <v>0.77500000000000002</v>
      </c>
      <c r="H8">
        <v>0.89600000000000002</v>
      </c>
      <c r="I8">
        <v>0.74299999999999999</v>
      </c>
    </row>
    <row r="13" spans="1:9" x14ac:dyDescent="0.25">
      <c r="A13" s="14" t="s">
        <v>18</v>
      </c>
      <c r="B13" s="14"/>
      <c r="C13" s="14"/>
      <c r="D13" s="14"/>
      <c r="E13" s="14"/>
      <c r="F13" s="14"/>
      <c r="G13" s="14"/>
    </row>
    <row r="14" spans="1:9" x14ac:dyDescent="0.25">
      <c r="A14" s="17" t="s">
        <v>15</v>
      </c>
      <c r="B14" s="16"/>
      <c r="C14" s="16"/>
      <c r="D14" s="16"/>
      <c r="E14" s="16"/>
      <c r="F14" s="16"/>
      <c r="G14" s="18"/>
    </row>
    <row r="15" spans="1:9" ht="60" x14ac:dyDescent="0.25">
      <c r="A15" s="5"/>
      <c r="B15" s="1" t="s">
        <v>6</v>
      </c>
      <c r="C15" s="4" t="s">
        <v>7</v>
      </c>
      <c r="D15" s="1" t="s">
        <v>8</v>
      </c>
      <c r="E15" s="4" t="s">
        <v>9</v>
      </c>
      <c r="F15" s="1" t="s">
        <v>1</v>
      </c>
      <c r="G15" s="1" t="s">
        <v>0</v>
      </c>
      <c r="H15" s="10" t="s">
        <v>25</v>
      </c>
      <c r="I15" s="11" t="s">
        <v>26</v>
      </c>
    </row>
    <row r="16" spans="1:9" x14ac:dyDescent="0.25">
      <c r="A16" s="1" t="s">
        <v>10</v>
      </c>
      <c r="B16">
        <v>4.1660000000000004</v>
      </c>
      <c r="C16">
        <v>3.8140000000000001</v>
      </c>
      <c r="D16">
        <v>0.44700000000000001</v>
      </c>
      <c r="E16">
        <v>0.313</v>
      </c>
      <c r="F16">
        <v>0.54800000000000004</v>
      </c>
      <c r="G16">
        <v>0.82399999999999995</v>
      </c>
      <c r="H16">
        <v>0.63100000000000001</v>
      </c>
      <c r="I16">
        <v>0.628</v>
      </c>
    </row>
    <row r="17" spans="1:9" x14ac:dyDescent="0.25">
      <c r="A17" s="1" t="s">
        <v>11</v>
      </c>
      <c r="B17">
        <v>4.0830000000000002</v>
      </c>
      <c r="C17">
        <v>4.12</v>
      </c>
      <c r="D17">
        <v>0.52800000000000002</v>
      </c>
      <c r="E17">
        <v>0.33300000000000002</v>
      </c>
      <c r="F17">
        <v>0.59399999999999997</v>
      </c>
      <c r="G17">
        <v>0.80400000000000005</v>
      </c>
      <c r="H17">
        <v>0.66400000000000003</v>
      </c>
      <c r="I17">
        <v>0.71199999999999997</v>
      </c>
    </row>
    <row r="18" spans="1:9" x14ac:dyDescent="0.25">
      <c r="A18" s="1" t="s">
        <v>12</v>
      </c>
      <c r="B18">
        <v>4.0650000000000004</v>
      </c>
      <c r="C18">
        <v>4.2530000000000001</v>
      </c>
      <c r="D18">
        <v>0.45600000000000002</v>
      </c>
      <c r="E18">
        <v>0.35499999999999998</v>
      </c>
      <c r="F18">
        <v>0.63200000000000001</v>
      </c>
      <c r="G18">
        <v>0.77900000000000003</v>
      </c>
      <c r="H18">
        <v>0.64</v>
      </c>
      <c r="I18">
        <v>0.83799999999999997</v>
      </c>
    </row>
    <row r="19" spans="1:9" x14ac:dyDescent="0.25">
      <c r="A19" s="1" t="s">
        <v>13</v>
      </c>
      <c r="B19">
        <v>4.4089999999999998</v>
      </c>
      <c r="C19">
        <v>3.847</v>
      </c>
      <c r="D19">
        <v>0.45300000000000001</v>
      </c>
      <c r="E19">
        <v>0.30199999999999999</v>
      </c>
      <c r="F19">
        <v>0.60699999999999998</v>
      </c>
      <c r="G19">
        <v>0.86699999999999999</v>
      </c>
      <c r="H19">
        <v>0.751</v>
      </c>
      <c r="I19">
        <v>0.81100000000000005</v>
      </c>
    </row>
    <row r="20" spans="1:9" x14ac:dyDescent="0.25">
      <c r="A20" s="1" t="s">
        <v>14</v>
      </c>
      <c r="B20">
        <v>3.8740000000000001</v>
      </c>
      <c r="C20">
        <v>4.2939999999999996</v>
      </c>
      <c r="D20">
        <v>0.49099999999999999</v>
      </c>
      <c r="E20">
        <v>0.30099999999999999</v>
      </c>
      <c r="F20">
        <v>0.61499999999999999</v>
      </c>
      <c r="G20">
        <v>0.77500000000000002</v>
      </c>
      <c r="H20">
        <v>0.71399999999999997</v>
      </c>
      <c r="I20">
        <v>0.76</v>
      </c>
    </row>
    <row r="24" spans="1:9" x14ac:dyDescent="0.25">
      <c r="A24" s="14" t="s">
        <v>20</v>
      </c>
      <c r="B24" s="14"/>
      <c r="C24" s="14"/>
      <c r="D24" s="14"/>
      <c r="E24" s="14"/>
      <c r="F24" s="14"/>
      <c r="G24" s="14"/>
    </row>
    <row r="25" spans="1:9" x14ac:dyDescent="0.25">
      <c r="A25" s="17" t="s">
        <v>15</v>
      </c>
      <c r="B25" s="16"/>
      <c r="C25" s="16"/>
      <c r="D25" s="16"/>
      <c r="E25" s="16"/>
      <c r="F25" s="16"/>
      <c r="G25" s="18"/>
    </row>
    <row r="26" spans="1:9" ht="60" x14ac:dyDescent="0.25">
      <c r="A26" s="5"/>
      <c r="B26" s="1" t="s">
        <v>6</v>
      </c>
      <c r="C26" s="4" t="s">
        <v>7</v>
      </c>
      <c r="D26" s="1" t="s">
        <v>8</v>
      </c>
      <c r="E26" s="4" t="s">
        <v>9</v>
      </c>
      <c r="F26" s="1" t="s">
        <v>1</v>
      </c>
      <c r="G26" s="1" t="s">
        <v>0</v>
      </c>
      <c r="H26" s="10" t="s">
        <v>25</v>
      </c>
      <c r="I26" s="11" t="s">
        <v>26</v>
      </c>
    </row>
    <row r="27" spans="1:9" x14ac:dyDescent="0.25">
      <c r="A27" s="1" t="s">
        <v>10</v>
      </c>
      <c r="B27">
        <v>3.2770000000000001</v>
      </c>
      <c r="C27">
        <v>3.4569999999999999</v>
      </c>
      <c r="D27">
        <v>0.25900000000000001</v>
      </c>
      <c r="E27">
        <v>0.25800000000000001</v>
      </c>
      <c r="F27">
        <v>1.3049999999999999</v>
      </c>
      <c r="G27">
        <v>0.82399999999999995</v>
      </c>
      <c r="H27">
        <v>0.61399999999999999</v>
      </c>
      <c r="I27">
        <v>0.62</v>
      </c>
    </row>
    <row r="28" spans="1:9" x14ac:dyDescent="0.25">
      <c r="A28" s="1" t="s">
        <v>11</v>
      </c>
      <c r="B28">
        <v>3.1429999999999998</v>
      </c>
      <c r="C28">
        <v>3.4620000000000002</v>
      </c>
      <c r="D28">
        <v>0.32900000000000001</v>
      </c>
      <c r="E28">
        <v>0.28100000000000003</v>
      </c>
      <c r="F28">
        <v>1.5009999999999999</v>
      </c>
      <c r="G28">
        <v>0.80400000000000005</v>
      </c>
      <c r="H28">
        <v>0.97199999999999998</v>
      </c>
      <c r="I28">
        <v>0.74299999999999999</v>
      </c>
    </row>
    <row r="29" spans="1:9" x14ac:dyDescent="0.25">
      <c r="A29" s="1" t="s">
        <v>12</v>
      </c>
      <c r="B29">
        <v>2.899</v>
      </c>
      <c r="C29">
        <v>3.6640000000000001</v>
      </c>
      <c r="D29">
        <v>0.30399999999999999</v>
      </c>
      <c r="E29">
        <v>0.29899999999999999</v>
      </c>
      <c r="F29">
        <v>0.63</v>
      </c>
      <c r="G29">
        <v>0.77900000000000003</v>
      </c>
      <c r="H29">
        <v>0.84199999999999997</v>
      </c>
      <c r="I29">
        <v>0.82699999999999996</v>
      </c>
    </row>
    <row r="30" spans="1:9" x14ac:dyDescent="0.25">
      <c r="A30" s="1" t="s">
        <v>13</v>
      </c>
      <c r="B30">
        <v>3.3279999999999998</v>
      </c>
      <c r="C30">
        <v>2.9740000000000002</v>
      </c>
      <c r="D30">
        <v>0.28100000000000003</v>
      </c>
      <c r="E30">
        <v>0.29899999999999999</v>
      </c>
      <c r="F30">
        <v>0.83399999999999996</v>
      </c>
      <c r="G30">
        <v>0.86699999999999999</v>
      </c>
      <c r="H30">
        <v>0.77900000000000003</v>
      </c>
      <c r="I30">
        <v>0.88100000000000001</v>
      </c>
    </row>
    <row r="31" spans="1:9" x14ac:dyDescent="0.25">
      <c r="A31" s="1" t="s">
        <v>14</v>
      </c>
      <c r="B31">
        <v>3.35</v>
      </c>
      <c r="C31">
        <v>3.3679999999999999</v>
      </c>
      <c r="D31">
        <v>0.40100000000000002</v>
      </c>
      <c r="E31">
        <v>0.28199999999999997</v>
      </c>
      <c r="F31">
        <v>0.69699999999999995</v>
      </c>
      <c r="G31">
        <v>0.77500000000000002</v>
      </c>
      <c r="H31">
        <v>0.64800000000000002</v>
      </c>
      <c r="I31">
        <v>0.86199999999999999</v>
      </c>
    </row>
    <row r="35" spans="1:9" x14ac:dyDescent="0.25">
      <c r="A35" s="14" t="s">
        <v>22</v>
      </c>
      <c r="B35" s="14"/>
      <c r="C35" s="14"/>
      <c r="D35" s="14"/>
      <c r="E35" s="14"/>
      <c r="F35" s="14"/>
      <c r="G35" s="14"/>
    </row>
    <row r="36" spans="1:9" x14ac:dyDescent="0.25">
      <c r="A36" s="17" t="s">
        <v>15</v>
      </c>
      <c r="B36" s="16"/>
      <c r="C36" s="16"/>
      <c r="D36" s="16"/>
      <c r="E36" s="16"/>
      <c r="F36" s="16"/>
      <c r="G36" s="18"/>
    </row>
    <row r="37" spans="1:9" ht="60" x14ac:dyDescent="0.25">
      <c r="A37" s="5"/>
      <c r="B37" s="1" t="s">
        <v>6</v>
      </c>
      <c r="C37" s="4" t="s">
        <v>7</v>
      </c>
      <c r="D37" s="1" t="s">
        <v>8</v>
      </c>
      <c r="E37" s="4" t="s">
        <v>9</v>
      </c>
      <c r="F37" s="1" t="s">
        <v>1</v>
      </c>
      <c r="G37" s="1" t="s">
        <v>0</v>
      </c>
      <c r="H37" s="10" t="s">
        <v>25</v>
      </c>
      <c r="I37" s="11" t="s">
        <v>26</v>
      </c>
    </row>
    <row r="38" spans="1:9" x14ac:dyDescent="0.25">
      <c r="A38" s="1" t="s">
        <v>10</v>
      </c>
      <c r="B38">
        <v>2.319</v>
      </c>
      <c r="C38">
        <v>2.61</v>
      </c>
      <c r="D38">
        <v>0.439</v>
      </c>
      <c r="E38">
        <v>0.28000000000000003</v>
      </c>
      <c r="F38">
        <v>0.55500000000000005</v>
      </c>
      <c r="G38">
        <v>0.82399999999999995</v>
      </c>
      <c r="H38">
        <v>3.7080000000000002</v>
      </c>
      <c r="I38">
        <v>2.992</v>
      </c>
    </row>
    <row r="39" spans="1:9" x14ac:dyDescent="0.25">
      <c r="A39" s="1" t="s">
        <v>11</v>
      </c>
      <c r="B39">
        <v>2.37</v>
      </c>
      <c r="C39">
        <v>2.6659999999999999</v>
      </c>
      <c r="D39">
        <v>0.46899999999999997</v>
      </c>
      <c r="E39">
        <v>0.23699999999999999</v>
      </c>
      <c r="F39">
        <v>0.95</v>
      </c>
      <c r="G39">
        <v>0.80400000000000005</v>
      </c>
      <c r="H39">
        <v>4.0490000000000004</v>
      </c>
      <c r="I39">
        <v>3.0870000000000002</v>
      </c>
    </row>
    <row r="40" spans="1:9" x14ac:dyDescent="0.25">
      <c r="A40" s="1" t="s">
        <v>12</v>
      </c>
      <c r="B40">
        <v>2.4380000000000002</v>
      </c>
      <c r="C40">
        <v>2.59</v>
      </c>
      <c r="D40">
        <v>0.46</v>
      </c>
      <c r="E40">
        <v>0.34100000000000003</v>
      </c>
      <c r="F40">
        <v>0.95299999999999996</v>
      </c>
      <c r="G40">
        <v>0.77900000000000003</v>
      </c>
      <c r="H40">
        <v>3.8740000000000001</v>
      </c>
      <c r="I40">
        <v>3.363</v>
      </c>
    </row>
    <row r="41" spans="1:9" x14ac:dyDescent="0.25">
      <c r="A41" s="1" t="s">
        <v>13</v>
      </c>
      <c r="B41">
        <v>2.48</v>
      </c>
      <c r="C41">
        <v>2.5979999999999999</v>
      </c>
      <c r="D41">
        <v>0.505</v>
      </c>
      <c r="E41">
        <v>0.34</v>
      </c>
      <c r="F41">
        <v>0.60099999999999998</v>
      </c>
      <c r="G41">
        <v>0.86699999999999999</v>
      </c>
      <c r="H41">
        <v>4.8460000000000001</v>
      </c>
      <c r="I41">
        <v>3.0230000000000001</v>
      </c>
    </row>
    <row r="42" spans="1:9" x14ac:dyDescent="0.25">
      <c r="A42" s="1" t="s">
        <v>14</v>
      </c>
      <c r="B42">
        <v>2.3730000000000002</v>
      </c>
      <c r="C42">
        <v>2.2080000000000002</v>
      </c>
      <c r="D42">
        <v>0.49299999999999999</v>
      </c>
      <c r="E42">
        <v>0.28000000000000003</v>
      </c>
      <c r="F42">
        <v>0.65400000000000003</v>
      </c>
      <c r="G42">
        <v>0.77500000000000002</v>
      </c>
      <c r="H42">
        <v>3.758</v>
      </c>
      <c r="I42">
        <v>3.2570000000000001</v>
      </c>
    </row>
    <row r="49" spans="1:9" x14ac:dyDescent="0.25">
      <c r="A49" s="13" t="s">
        <v>24</v>
      </c>
      <c r="B49" s="13"/>
      <c r="C49" s="13"/>
      <c r="D49" s="13"/>
      <c r="E49" s="13"/>
      <c r="F49" s="13"/>
      <c r="G49" s="13"/>
    </row>
    <row r="50" spans="1:9" ht="60" x14ac:dyDescent="0.25">
      <c r="A50" s="3"/>
      <c r="B50" s="1" t="s">
        <v>6</v>
      </c>
      <c r="C50" s="4" t="s">
        <v>7</v>
      </c>
      <c r="D50" s="1" t="s">
        <v>8</v>
      </c>
      <c r="E50" s="4" t="s">
        <v>9</v>
      </c>
      <c r="F50" s="1" t="s">
        <v>1</v>
      </c>
      <c r="G50" s="1" t="s">
        <v>0</v>
      </c>
      <c r="H50" s="10" t="s">
        <v>30</v>
      </c>
      <c r="I50" s="11" t="s">
        <v>29</v>
      </c>
    </row>
    <row r="51" spans="1:9" x14ac:dyDescent="0.25">
      <c r="A51" s="8">
        <v>0.15</v>
      </c>
      <c r="B51">
        <f t="shared" ref="B51:I51" si="0">AVERAGE(B4:B8)</f>
        <v>4.6486000000000001</v>
      </c>
      <c r="C51">
        <f t="shared" si="0"/>
        <v>4.6164000000000005</v>
      </c>
      <c r="D51">
        <f t="shared" si="0"/>
        <v>0.4556</v>
      </c>
      <c r="E51">
        <f t="shared" si="0"/>
        <v>0.3548</v>
      </c>
      <c r="F51">
        <f t="shared" si="0"/>
        <v>0.90900000000000003</v>
      </c>
      <c r="G51">
        <f t="shared" si="0"/>
        <v>0.80980000000000008</v>
      </c>
      <c r="H51">
        <f t="shared" si="0"/>
        <v>0.75439999999999996</v>
      </c>
      <c r="I51">
        <f t="shared" si="0"/>
        <v>0.75800000000000001</v>
      </c>
    </row>
    <row r="52" spans="1:9" x14ac:dyDescent="0.25">
      <c r="A52" s="9">
        <v>0.35</v>
      </c>
      <c r="B52">
        <f t="shared" ref="B52:I52" si="1">AVERAGE(B16:B20)</f>
        <v>4.1193999999999997</v>
      </c>
      <c r="C52">
        <f t="shared" si="1"/>
        <v>4.0656000000000008</v>
      </c>
      <c r="D52">
        <f t="shared" si="1"/>
        <v>0.47499999999999998</v>
      </c>
      <c r="E52">
        <f t="shared" si="1"/>
        <v>0.32079999999999997</v>
      </c>
      <c r="F52">
        <f t="shared" si="1"/>
        <v>0.59920000000000007</v>
      </c>
      <c r="G52">
        <f t="shared" si="1"/>
        <v>0.80980000000000008</v>
      </c>
      <c r="H52">
        <f t="shared" si="1"/>
        <v>0.67999999999999994</v>
      </c>
      <c r="I52">
        <f t="shared" si="1"/>
        <v>0.74979999999999991</v>
      </c>
    </row>
    <row r="53" spans="1:9" x14ac:dyDescent="0.25">
      <c r="A53" s="9">
        <v>0.55000000000000004</v>
      </c>
      <c r="B53">
        <f t="shared" ref="B53:I53" si="2">AVERAGE(B27:B31)</f>
        <v>3.1993999999999998</v>
      </c>
      <c r="C53">
        <f t="shared" si="2"/>
        <v>3.3850000000000002</v>
      </c>
      <c r="D53">
        <f t="shared" si="2"/>
        <v>0.31480000000000002</v>
      </c>
      <c r="E53">
        <f t="shared" si="2"/>
        <v>0.2838</v>
      </c>
      <c r="F53">
        <f t="shared" si="2"/>
        <v>0.99339999999999995</v>
      </c>
      <c r="G53">
        <f t="shared" si="2"/>
        <v>0.80980000000000008</v>
      </c>
      <c r="H53">
        <f t="shared" si="2"/>
        <v>0.77100000000000002</v>
      </c>
      <c r="I53">
        <f t="shared" si="2"/>
        <v>0.78659999999999997</v>
      </c>
    </row>
    <row r="54" spans="1:9" x14ac:dyDescent="0.25">
      <c r="A54" s="9">
        <v>0.7</v>
      </c>
      <c r="B54">
        <f t="shared" ref="B54:I54" si="3">AVERAGE(B38:B42)</f>
        <v>2.3959999999999999</v>
      </c>
      <c r="C54">
        <f t="shared" si="3"/>
        <v>2.5343999999999998</v>
      </c>
      <c r="D54">
        <f t="shared" si="3"/>
        <v>0.47319999999999995</v>
      </c>
      <c r="E54">
        <f t="shared" si="3"/>
        <v>0.29560000000000003</v>
      </c>
      <c r="F54">
        <f t="shared" si="3"/>
        <v>0.74259999999999993</v>
      </c>
      <c r="G54">
        <f t="shared" si="3"/>
        <v>0.80980000000000008</v>
      </c>
      <c r="H54">
        <f t="shared" si="3"/>
        <v>4.0469999999999997</v>
      </c>
      <c r="I54">
        <f t="shared" si="3"/>
        <v>3.1444000000000001</v>
      </c>
    </row>
  </sheetData>
  <mergeCells count="9">
    <mergeCell ref="A49:G49"/>
    <mergeCell ref="A35:G35"/>
    <mergeCell ref="A36:G36"/>
    <mergeCell ref="A1:G1"/>
    <mergeCell ref="A2:G2"/>
    <mergeCell ref="A13:G13"/>
    <mergeCell ref="A14:G14"/>
    <mergeCell ref="A24:G24"/>
    <mergeCell ref="A25: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topLeftCell="A82" zoomScale="85" zoomScaleNormal="85" workbookViewId="0">
      <selection activeCell="H97" sqref="H97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24" bestFit="1" customWidth="1"/>
    <col min="4" max="4" width="38.28515625" bestFit="1" customWidth="1"/>
    <col min="5" max="5" width="23.2851562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20" t="s">
        <v>17</v>
      </c>
      <c r="B1" s="20"/>
      <c r="C1" s="20"/>
      <c r="D1" s="20"/>
      <c r="E1" s="20"/>
      <c r="F1" s="20"/>
      <c r="G1" s="20"/>
    </row>
    <row r="2" spans="1:9" x14ac:dyDescent="0.25">
      <c r="A2" s="15" t="s">
        <v>16</v>
      </c>
      <c r="B2" s="15"/>
      <c r="C2" s="15"/>
      <c r="D2" s="15"/>
      <c r="E2" s="15"/>
      <c r="F2" s="15"/>
      <c r="G2" s="15"/>
    </row>
    <row r="3" spans="1:9" ht="45" x14ac:dyDescent="0.25">
      <c r="A3" s="3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25</v>
      </c>
      <c r="I3" s="11" t="s">
        <v>26</v>
      </c>
    </row>
    <row r="4" spans="1:9" x14ac:dyDescent="0.25">
      <c r="A4" s="1" t="s">
        <v>10</v>
      </c>
      <c r="B4">
        <v>0</v>
      </c>
      <c r="C4">
        <v>0</v>
      </c>
      <c r="D4">
        <v>0</v>
      </c>
      <c r="F4">
        <v>0.25900000000000001</v>
      </c>
      <c r="G4">
        <v>0.27700000000000002</v>
      </c>
      <c r="H4">
        <v>0</v>
      </c>
      <c r="I4">
        <v>2.206E-2</v>
      </c>
    </row>
    <row r="5" spans="1:9" x14ac:dyDescent="0.25">
      <c r="A5" s="1" t="s">
        <v>11</v>
      </c>
      <c r="B5">
        <v>0</v>
      </c>
      <c r="C5">
        <v>0</v>
      </c>
      <c r="F5">
        <v>0.25900000000000001</v>
      </c>
      <c r="G5">
        <v>0.28399999999999997</v>
      </c>
      <c r="H5">
        <v>0</v>
      </c>
      <c r="I5">
        <v>3.0008E-2</v>
      </c>
    </row>
    <row r="6" spans="1:9" x14ac:dyDescent="0.25">
      <c r="A6" s="1" t="s">
        <v>12</v>
      </c>
      <c r="B6">
        <v>0</v>
      </c>
      <c r="C6">
        <v>0</v>
      </c>
      <c r="F6">
        <v>0.26400000000000001</v>
      </c>
      <c r="G6">
        <v>0.28199999999999997</v>
      </c>
      <c r="H6">
        <v>0</v>
      </c>
      <c r="I6">
        <v>2.8199999999999999E-2</v>
      </c>
    </row>
    <row r="7" spans="1:9" x14ac:dyDescent="0.25">
      <c r="A7" s="1" t="s">
        <v>13</v>
      </c>
      <c r="B7">
        <v>0</v>
      </c>
      <c r="C7">
        <v>0</v>
      </c>
      <c r="F7">
        <v>0.252</v>
      </c>
      <c r="G7">
        <v>0.27889999999999998</v>
      </c>
      <c r="H7">
        <v>0</v>
      </c>
      <c r="I7">
        <v>3.0008E-2</v>
      </c>
    </row>
    <row r="8" spans="1:9" x14ac:dyDescent="0.25">
      <c r="A8" s="1" t="s">
        <v>14</v>
      </c>
      <c r="B8">
        <v>0</v>
      </c>
      <c r="C8">
        <v>0</v>
      </c>
      <c r="F8">
        <v>0.25</v>
      </c>
      <c r="G8">
        <v>0.26300000000000001</v>
      </c>
      <c r="H8">
        <v>0</v>
      </c>
      <c r="I8">
        <v>1.5879999999999998E-2</v>
      </c>
    </row>
    <row r="10" spans="1:9" x14ac:dyDescent="0.25">
      <c r="A10" s="19" t="s">
        <v>3</v>
      </c>
      <c r="B10" s="19"/>
      <c r="C10" s="19"/>
    </row>
    <row r="11" spans="1:9" x14ac:dyDescent="0.25">
      <c r="B11" s="1" t="s">
        <v>0</v>
      </c>
      <c r="C11" s="1" t="s">
        <v>1</v>
      </c>
      <c r="D11" s="10" t="s">
        <v>25</v>
      </c>
      <c r="E11" s="11" t="s">
        <v>26</v>
      </c>
    </row>
    <row r="12" spans="1:9" x14ac:dyDescent="0.25">
      <c r="A12" s="1" t="s">
        <v>10</v>
      </c>
      <c r="B12" s="2">
        <v>0.30005300000000001</v>
      </c>
      <c r="C12" s="2">
        <v>0.28110499999999999</v>
      </c>
      <c r="D12" s="12">
        <v>0</v>
      </c>
      <c r="E12" s="2">
        <v>2.2374999999999999E-2</v>
      </c>
    </row>
    <row r="13" spans="1:9" x14ac:dyDescent="0.25">
      <c r="A13" s="1" t="s">
        <v>11</v>
      </c>
      <c r="B13" s="2">
        <v>0.31176999999999999</v>
      </c>
      <c r="C13" s="2">
        <v>0.28264</v>
      </c>
      <c r="D13" s="12">
        <v>0</v>
      </c>
      <c r="E13" s="2">
        <v>3.0806E-2</v>
      </c>
    </row>
    <row r="14" spans="1:9" x14ac:dyDescent="0.25">
      <c r="A14" s="1" t="s">
        <v>12</v>
      </c>
      <c r="B14" s="2">
        <v>0.30499999999999999</v>
      </c>
      <c r="C14" s="2">
        <v>0.28015800000000002</v>
      </c>
      <c r="D14" s="12">
        <v>0</v>
      </c>
      <c r="E14" s="2">
        <v>2.9790000000000001E-2</v>
      </c>
    </row>
    <row r="15" spans="1:9" x14ac:dyDescent="0.25">
      <c r="A15" s="1" t="s">
        <v>13</v>
      </c>
      <c r="B15" s="2">
        <v>0.30619000000000002</v>
      </c>
      <c r="C15" s="2">
        <v>0.27464</v>
      </c>
      <c r="D15" s="12">
        <v>0</v>
      </c>
      <c r="E15" s="2">
        <v>3.0120000000000001E-2</v>
      </c>
    </row>
    <row r="16" spans="1:9" x14ac:dyDescent="0.25">
      <c r="A16" s="1" t="s">
        <v>14</v>
      </c>
      <c r="B16" s="2">
        <v>0.28906999999999999</v>
      </c>
      <c r="C16" s="2">
        <v>0.27278000000000002</v>
      </c>
      <c r="D16" s="12">
        <v>0</v>
      </c>
      <c r="E16" s="2">
        <v>1.3389E-2</v>
      </c>
    </row>
    <row r="21" spans="1:9" x14ac:dyDescent="0.25">
      <c r="A21" s="14" t="s">
        <v>18</v>
      </c>
      <c r="B21" s="14"/>
      <c r="C21" s="14"/>
      <c r="D21" s="14"/>
      <c r="E21" s="14"/>
      <c r="F21" s="14"/>
      <c r="G21" s="14"/>
    </row>
    <row r="22" spans="1:9" x14ac:dyDescent="0.25">
      <c r="A22" s="15" t="s">
        <v>16</v>
      </c>
      <c r="B22" s="15"/>
      <c r="C22" s="15"/>
      <c r="D22" s="15"/>
      <c r="E22" s="15"/>
      <c r="F22" s="15"/>
      <c r="G22" s="15"/>
    </row>
    <row r="23" spans="1:9" ht="45" x14ac:dyDescent="0.25">
      <c r="A23" s="3"/>
      <c r="B23" s="1" t="s">
        <v>6</v>
      </c>
      <c r="C23" s="4" t="s">
        <v>7</v>
      </c>
      <c r="D23" s="1" t="s">
        <v>8</v>
      </c>
      <c r="E23" s="4" t="s">
        <v>9</v>
      </c>
      <c r="F23" s="1" t="s">
        <v>1</v>
      </c>
      <c r="G23" s="1" t="s">
        <v>0</v>
      </c>
      <c r="H23" s="10" t="s">
        <v>25</v>
      </c>
      <c r="I23" s="11" t="s">
        <v>26</v>
      </c>
    </row>
    <row r="24" spans="1:9" x14ac:dyDescent="0.25">
      <c r="A24" s="1" t="s">
        <v>10</v>
      </c>
      <c r="B24">
        <v>0</v>
      </c>
      <c r="C24">
        <v>0</v>
      </c>
      <c r="F24">
        <v>0.26300000000000001</v>
      </c>
      <c r="G24">
        <v>0.27700000000000002</v>
      </c>
      <c r="H24">
        <v>0</v>
      </c>
      <c r="I24">
        <v>2.64E-2</v>
      </c>
    </row>
    <row r="25" spans="1:9" x14ac:dyDescent="0.25">
      <c r="A25" s="1" t="s">
        <v>11</v>
      </c>
      <c r="B25">
        <v>0</v>
      </c>
      <c r="C25">
        <v>0</v>
      </c>
      <c r="F25">
        <v>0.26100000000000001</v>
      </c>
      <c r="G25">
        <v>0.28399999999999997</v>
      </c>
      <c r="H25">
        <v>0</v>
      </c>
      <c r="I25">
        <v>4.9399999999999999E-2</v>
      </c>
    </row>
    <row r="26" spans="1:9" x14ac:dyDescent="0.25">
      <c r="A26" s="1" t="s">
        <v>12</v>
      </c>
      <c r="B26">
        <v>0</v>
      </c>
      <c r="C26">
        <v>0</v>
      </c>
      <c r="F26">
        <v>0.254</v>
      </c>
      <c r="G26">
        <v>0.28199999999999997</v>
      </c>
      <c r="H26">
        <v>0</v>
      </c>
      <c r="I26">
        <v>3.8800000000000001E-2</v>
      </c>
    </row>
    <row r="27" spans="1:9" x14ac:dyDescent="0.25">
      <c r="A27" s="1" t="s">
        <v>13</v>
      </c>
      <c r="B27">
        <v>0</v>
      </c>
      <c r="C27">
        <v>0</v>
      </c>
      <c r="F27">
        <v>0.25900000000000001</v>
      </c>
      <c r="G27">
        <v>0.27889999999999998</v>
      </c>
      <c r="H27">
        <v>0</v>
      </c>
      <c r="I27">
        <v>2.64E-2</v>
      </c>
    </row>
    <row r="28" spans="1:9" x14ac:dyDescent="0.25">
      <c r="A28" s="1" t="s">
        <v>14</v>
      </c>
      <c r="B28">
        <v>0</v>
      </c>
      <c r="C28">
        <v>0</v>
      </c>
      <c r="F28">
        <v>0.25900000000000001</v>
      </c>
      <c r="G28">
        <v>0.26300000000000001</v>
      </c>
      <c r="H28">
        <v>0</v>
      </c>
      <c r="I28">
        <v>2.47E-2</v>
      </c>
    </row>
    <row r="30" spans="1:9" x14ac:dyDescent="0.25">
      <c r="A30" s="19" t="s">
        <v>3</v>
      </c>
      <c r="B30" s="19"/>
      <c r="C30" s="19"/>
    </row>
    <row r="31" spans="1:9" x14ac:dyDescent="0.25">
      <c r="B31" s="1" t="s">
        <v>0</v>
      </c>
      <c r="C31" s="1" t="s">
        <v>1</v>
      </c>
      <c r="D31" s="10" t="s">
        <v>25</v>
      </c>
      <c r="E31" s="11" t="s">
        <v>26</v>
      </c>
    </row>
    <row r="32" spans="1:9" x14ac:dyDescent="0.25">
      <c r="A32" s="1" t="s">
        <v>10</v>
      </c>
      <c r="B32" s="2">
        <v>0.30005300000000001</v>
      </c>
      <c r="C32" s="2">
        <v>0.28681000000000001</v>
      </c>
      <c r="D32" s="2">
        <v>0</v>
      </c>
      <c r="E32" s="2">
        <v>2.7026000000000001E-2</v>
      </c>
    </row>
    <row r="33" spans="1:9" x14ac:dyDescent="0.25">
      <c r="A33" s="1" t="s">
        <v>11</v>
      </c>
      <c r="B33" s="2">
        <v>0.31176999999999999</v>
      </c>
      <c r="C33" s="2">
        <v>0.284889</v>
      </c>
      <c r="D33" s="2">
        <v>0</v>
      </c>
      <c r="E33" s="2">
        <v>5.4105E-2</v>
      </c>
    </row>
    <row r="34" spans="1:9" x14ac:dyDescent="0.25">
      <c r="A34" s="1" t="s">
        <v>12</v>
      </c>
      <c r="B34" s="2">
        <v>0.30499999999999999</v>
      </c>
      <c r="C34" s="2">
        <v>0.27706999999999998</v>
      </c>
      <c r="D34" s="2">
        <v>0</v>
      </c>
      <c r="E34" s="2">
        <v>3.9809999999999998E-2</v>
      </c>
    </row>
    <row r="35" spans="1:9" x14ac:dyDescent="0.25">
      <c r="A35" s="1" t="s">
        <v>13</v>
      </c>
      <c r="B35" s="2">
        <v>0.30619000000000002</v>
      </c>
      <c r="C35" s="2">
        <v>0.28251999999999999</v>
      </c>
      <c r="D35" s="2">
        <v>0</v>
      </c>
      <c r="E35" s="2">
        <v>2.6679999999999999E-2</v>
      </c>
    </row>
    <row r="36" spans="1:9" x14ac:dyDescent="0.25">
      <c r="A36" s="1" t="s">
        <v>14</v>
      </c>
      <c r="B36" s="2">
        <v>0.28906999999999999</v>
      </c>
      <c r="C36" s="2">
        <v>0.28264</v>
      </c>
      <c r="D36" s="2">
        <v>0</v>
      </c>
      <c r="E36" s="2">
        <v>3.4302899999999997E-2</v>
      </c>
    </row>
    <row r="40" spans="1:9" x14ac:dyDescent="0.25">
      <c r="A40" s="14" t="s">
        <v>20</v>
      </c>
      <c r="B40" s="14"/>
      <c r="C40" s="14"/>
      <c r="D40" s="14"/>
      <c r="E40" s="14"/>
      <c r="F40" s="14"/>
      <c r="G40" s="14"/>
    </row>
    <row r="41" spans="1:9" x14ac:dyDescent="0.25">
      <c r="A41" s="15" t="s">
        <v>16</v>
      </c>
      <c r="B41" s="15"/>
      <c r="C41" s="15"/>
      <c r="D41" s="15"/>
      <c r="E41" s="15"/>
      <c r="F41" s="15"/>
      <c r="G41" s="15"/>
    </row>
    <row r="42" spans="1:9" ht="45" x14ac:dyDescent="0.25">
      <c r="A42" s="3"/>
      <c r="B42" s="1" t="s">
        <v>6</v>
      </c>
      <c r="C42" s="4" t="s">
        <v>7</v>
      </c>
      <c r="D42" s="1" t="s">
        <v>8</v>
      </c>
      <c r="E42" s="4" t="s">
        <v>9</v>
      </c>
      <c r="F42" s="1" t="s">
        <v>1</v>
      </c>
      <c r="G42" s="1" t="s">
        <v>0</v>
      </c>
      <c r="H42" s="10" t="s">
        <v>25</v>
      </c>
      <c r="I42" s="11" t="s">
        <v>26</v>
      </c>
    </row>
    <row r="43" spans="1:9" x14ac:dyDescent="0.25">
      <c r="A43" s="1" t="s">
        <v>10</v>
      </c>
      <c r="B43">
        <v>0</v>
      </c>
      <c r="C43">
        <v>0</v>
      </c>
      <c r="F43">
        <v>0.25900000000000001</v>
      </c>
      <c r="G43">
        <v>0.27700000000000002</v>
      </c>
      <c r="H43">
        <v>0</v>
      </c>
      <c r="I43">
        <v>1.7600000000000001E-2</v>
      </c>
    </row>
    <row r="44" spans="1:9" x14ac:dyDescent="0.25">
      <c r="A44" s="1" t="s">
        <v>11</v>
      </c>
      <c r="B44">
        <v>0</v>
      </c>
      <c r="C44">
        <v>0</v>
      </c>
      <c r="F44">
        <v>0.254</v>
      </c>
      <c r="G44">
        <v>0.28399999999999997</v>
      </c>
      <c r="H44">
        <v>0</v>
      </c>
      <c r="I44">
        <v>4.0599999999999997E-2</v>
      </c>
    </row>
    <row r="45" spans="1:9" x14ac:dyDescent="0.25">
      <c r="A45" s="1" t="s">
        <v>12</v>
      </c>
      <c r="B45">
        <v>0</v>
      </c>
      <c r="C45">
        <v>0</v>
      </c>
      <c r="F45">
        <v>0.25700000000000001</v>
      </c>
      <c r="G45">
        <v>0.28199999999999997</v>
      </c>
      <c r="H45">
        <v>0</v>
      </c>
      <c r="I45">
        <v>2.8199999999999999E-2</v>
      </c>
    </row>
    <row r="46" spans="1:9" x14ac:dyDescent="0.25">
      <c r="A46" s="1" t="s">
        <v>13</v>
      </c>
      <c r="B46">
        <v>0</v>
      </c>
      <c r="C46">
        <v>0</v>
      </c>
      <c r="F46">
        <v>0.25900000000000001</v>
      </c>
      <c r="G46">
        <v>0.27889999999999998</v>
      </c>
      <c r="H46">
        <v>0</v>
      </c>
      <c r="I46">
        <v>2.8199999999999999E-2</v>
      </c>
    </row>
    <row r="47" spans="1:9" x14ac:dyDescent="0.25">
      <c r="A47" s="1" t="s">
        <v>14</v>
      </c>
      <c r="B47">
        <v>0</v>
      </c>
      <c r="C47">
        <v>0</v>
      </c>
      <c r="F47">
        <v>0.25900000000000001</v>
      </c>
      <c r="G47">
        <v>0.26300000000000001</v>
      </c>
      <c r="H47">
        <v>0</v>
      </c>
      <c r="I47">
        <v>4.7600000000000003E-2</v>
      </c>
    </row>
    <row r="49" spans="1:9" x14ac:dyDescent="0.25">
      <c r="A49" s="19" t="s">
        <v>3</v>
      </c>
      <c r="B49" s="19"/>
      <c r="C49" s="19"/>
    </row>
    <row r="50" spans="1:9" x14ac:dyDescent="0.25">
      <c r="B50" s="1" t="s">
        <v>0</v>
      </c>
      <c r="C50" s="1" t="s">
        <v>1</v>
      </c>
      <c r="D50" s="10" t="s">
        <v>25</v>
      </c>
      <c r="E50" s="11" t="s">
        <v>26</v>
      </c>
    </row>
    <row r="51" spans="1:9" x14ac:dyDescent="0.25">
      <c r="A51" s="1" t="s">
        <v>10</v>
      </c>
      <c r="B51" s="2">
        <v>0.30005300000000001</v>
      </c>
      <c r="C51" s="2">
        <v>0.28214</v>
      </c>
      <c r="D51" s="12">
        <v>0</v>
      </c>
      <c r="E51" s="12">
        <v>2.094E-2</v>
      </c>
    </row>
    <row r="52" spans="1:9" x14ac:dyDescent="0.25">
      <c r="A52" s="1" t="s">
        <v>11</v>
      </c>
      <c r="B52" s="2">
        <v>0.31176999999999999</v>
      </c>
      <c r="C52" s="2">
        <v>0.27681</v>
      </c>
      <c r="D52" s="12">
        <v>0</v>
      </c>
      <c r="E52" s="12">
        <v>4.3159999999999997E-2</v>
      </c>
    </row>
    <row r="53" spans="1:9" x14ac:dyDescent="0.25">
      <c r="A53" s="1" t="s">
        <v>12</v>
      </c>
      <c r="B53" s="2">
        <v>0.30499999999999999</v>
      </c>
      <c r="C53" s="2">
        <v>0.28090999999999999</v>
      </c>
      <c r="D53" s="12">
        <v>0</v>
      </c>
      <c r="E53" s="12">
        <v>2.6630000000000001E-2</v>
      </c>
    </row>
    <row r="54" spans="1:9" x14ac:dyDescent="0.25">
      <c r="A54" s="1" t="s">
        <v>13</v>
      </c>
      <c r="B54" s="2">
        <v>0.30619000000000002</v>
      </c>
      <c r="C54" s="2">
        <v>0.28309000000000001</v>
      </c>
      <c r="D54" s="12">
        <v>0</v>
      </c>
      <c r="E54" s="12">
        <v>2.8379999999999999E-2</v>
      </c>
    </row>
    <row r="55" spans="1:9" x14ac:dyDescent="0.25">
      <c r="A55" s="1" t="s">
        <v>14</v>
      </c>
      <c r="B55" s="2">
        <v>0.28906999999999999</v>
      </c>
      <c r="C55" s="2">
        <v>0.28277000000000002</v>
      </c>
      <c r="D55" s="12">
        <v>0</v>
      </c>
      <c r="E55" s="12">
        <v>6.5689999999999998E-2</v>
      </c>
    </row>
    <row r="59" spans="1:9" x14ac:dyDescent="0.25">
      <c r="A59" s="14" t="s">
        <v>22</v>
      </c>
      <c r="B59" s="14"/>
      <c r="C59" s="14"/>
      <c r="D59" s="14"/>
      <c r="E59" s="14"/>
      <c r="F59" s="14"/>
      <c r="G59" s="14"/>
    </row>
    <row r="60" spans="1:9" x14ac:dyDescent="0.25">
      <c r="A60" s="15" t="s">
        <v>16</v>
      </c>
      <c r="B60" s="15"/>
      <c r="C60" s="15"/>
      <c r="D60" s="15"/>
      <c r="E60" s="15"/>
      <c r="F60" s="15"/>
      <c r="G60" s="15"/>
    </row>
    <row r="61" spans="1:9" ht="45" x14ac:dyDescent="0.25">
      <c r="A61" s="3"/>
      <c r="B61" s="1" t="s">
        <v>6</v>
      </c>
      <c r="C61" s="4" t="s">
        <v>7</v>
      </c>
      <c r="D61" s="1" t="s">
        <v>8</v>
      </c>
      <c r="E61" s="4" t="s">
        <v>9</v>
      </c>
      <c r="F61" s="1" t="s">
        <v>1</v>
      </c>
      <c r="G61" s="1" t="s">
        <v>0</v>
      </c>
      <c r="H61" s="10" t="s">
        <v>25</v>
      </c>
      <c r="I61" s="11" t="s">
        <v>26</v>
      </c>
    </row>
    <row r="62" spans="1:9" x14ac:dyDescent="0.25">
      <c r="A62" s="1" t="s">
        <v>10</v>
      </c>
      <c r="F62">
        <v>0.25900000000000001</v>
      </c>
      <c r="G62">
        <v>0.27700000000000002</v>
      </c>
      <c r="H62">
        <v>0</v>
      </c>
      <c r="I62">
        <v>1.4120000000000001E-2</v>
      </c>
    </row>
    <row r="63" spans="1:9" x14ac:dyDescent="0.25">
      <c r="A63" s="1" t="s">
        <v>11</v>
      </c>
      <c r="F63">
        <v>0.25900000000000001</v>
      </c>
      <c r="G63">
        <v>0.28399999999999997</v>
      </c>
      <c r="H63">
        <v>0</v>
      </c>
      <c r="I63">
        <v>1.235E-2</v>
      </c>
    </row>
    <row r="64" spans="1:9" x14ac:dyDescent="0.25">
      <c r="A64" s="1" t="s">
        <v>12</v>
      </c>
      <c r="F64">
        <v>0.26119999999999999</v>
      </c>
      <c r="G64">
        <v>0.28199999999999997</v>
      </c>
      <c r="H64">
        <v>0</v>
      </c>
      <c r="I64">
        <v>1.5879999999999998E-2</v>
      </c>
    </row>
    <row r="65" spans="1:9" x14ac:dyDescent="0.25">
      <c r="A65" s="1" t="s">
        <v>13</v>
      </c>
      <c r="F65">
        <v>0.255</v>
      </c>
      <c r="G65">
        <v>0.27889999999999998</v>
      </c>
      <c r="H65">
        <v>0</v>
      </c>
      <c r="I65">
        <v>1.235E-2</v>
      </c>
    </row>
    <row r="66" spans="1:9" x14ac:dyDescent="0.25">
      <c r="A66" s="1" t="s">
        <v>14</v>
      </c>
      <c r="F66">
        <v>0.26300000000000001</v>
      </c>
      <c r="G66">
        <v>0.26300000000000001</v>
      </c>
      <c r="H66">
        <v>0</v>
      </c>
      <c r="I66">
        <v>1.4120000000000001E-2</v>
      </c>
    </row>
    <row r="68" spans="1:9" x14ac:dyDescent="0.25">
      <c r="A68" s="19" t="s">
        <v>3</v>
      </c>
      <c r="B68" s="19"/>
      <c r="C68" s="19"/>
    </row>
    <row r="69" spans="1:9" x14ac:dyDescent="0.25">
      <c r="B69" s="1" t="s">
        <v>0</v>
      </c>
      <c r="C69" s="1" t="s">
        <v>1</v>
      </c>
      <c r="D69" s="10" t="s">
        <v>25</v>
      </c>
      <c r="E69" s="11" t="s">
        <v>26</v>
      </c>
    </row>
    <row r="70" spans="1:9" x14ac:dyDescent="0.25">
      <c r="A70" s="1" t="s">
        <v>10</v>
      </c>
      <c r="B70" s="2">
        <v>0.30005300000000001</v>
      </c>
      <c r="C70" s="2">
        <v>0.28294000000000002</v>
      </c>
      <c r="D70" s="2">
        <v>0</v>
      </c>
      <c r="E70" s="2">
        <v>4.1340000000000002E-2</v>
      </c>
    </row>
    <row r="71" spans="1:9" x14ac:dyDescent="0.25">
      <c r="A71" s="1" t="s">
        <v>11</v>
      </c>
      <c r="B71" s="2">
        <v>0.31176999999999999</v>
      </c>
      <c r="C71" s="2">
        <v>0.28264</v>
      </c>
      <c r="D71" s="2">
        <v>0</v>
      </c>
      <c r="E71" s="2">
        <v>5.7790000000000001E-2</v>
      </c>
    </row>
    <row r="72" spans="1:9" x14ac:dyDescent="0.25">
      <c r="A72" s="1" t="s">
        <v>12</v>
      </c>
      <c r="B72" s="2">
        <v>0.30499999999999999</v>
      </c>
      <c r="C72" s="2">
        <v>0.28449999999999998</v>
      </c>
      <c r="D72" s="2">
        <v>0</v>
      </c>
      <c r="E72" s="2">
        <v>3.2772799999999998E-2</v>
      </c>
    </row>
    <row r="73" spans="1:9" x14ac:dyDescent="0.25">
      <c r="A73" s="1" t="s">
        <v>13</v>
      </c>
      <c r="B73" s="2">
        <v>0.30619000000000002</v>
      </c>
      <c r="C73" s="2">
        <v>0.28828999999999999</v>
      </c>
      <c r="D73" s="2">
        <v>0</v>
      </c>
      <c r="E73" s="2">
        <v>4.4087000000000001E-2</v>
      </c>
    </row>
    <row r="74" spans="1:9" x14ac:dyDescent="0.25">
      <c r="A74" s="1" t="s">
        <v>14</v>
      </c>
      <c r="B74" s="2">
        <v>0.28906999999999999</v>
      </c>
      <c r="C74" s="2">
        <v>0.28639999999999999</v>
      </c>
      <c r="D74" s="2">
        <v>0</v>
      </c>
      <c r="E74" s="2">
        <v>2.7400000000000001E-2</v>
      </c>
    </row>
    <row r="78" spans="1:9" x14ac:dyDescent="0.25">
      <c r="A78" s="13" t="s">
        <v>24</v>
      </c>
      <c r="B78" s="13"/>
      <c r="C78" s="13"/>
      <c r="D78" s="13"/>
      <c r="E78" s="13"/>
      <c r="F78" s="13"/>
      <c r="G78" s="13"/>
    </row>
    <row r="79" spans="1:9" x14ac:dyDescent="0.25">
      <c r="A79" s="15" t="s">
        <v>16</v>
      </c>
      <c r="B79" s="15"/>
      <c r="C79" s="15"/>
      <c r="D79" s="15"/>
      <c r="E79" s="15"/>
      <c r="F79" s="15"/>
      <c r="G79" s="15"/>
    </row>
    <row r="80" spans="1:9" x14ac:dyDescent="0.25">
      <c r="A80" s="6"/>
      <c r="B80" s="1" t="s">
        <v>1</v>
      </c>
      <c r="C80" s="1" t="s">
        <v>0</v>
      </c>
      <c r="D80" s="10" t="s">
        <v>30</v>
      </c>
      <c r="E80" s="11" t="s">
        <v>29</v>
      </c>
    </row>
    <row r="81" spans="1:5" x14ac:dyDescent="0.25">
      <c r="A81" s="7">
        <v>0.15</v>
      </c>
      <c r="B81" s="21">
        <f>AVERAGE(F4:F8)</f>
        <v>0.25680000000000003</v>
      </c>
      <c r="C81" s="21">
        <f>AVERAGE(G4:G8)</f>
        <v>0.27698</v>
      </c>
      <c r="D81" s="21">
        <f>AVERAGE(H4:H8)</f>
        <v>0</v>
      </c>
      <c r="E81" s="21">
        <f>AVERAGE(I4:I8)</f>
        <v>2.5231200000000002E-2</v>
      </c>
    </row>
    <row r="82" spans="1:5" x14ac:dyDescent="0.25">
      <c r="A82" s="7">
        <v>0.35</v>
      </c>
      <c r="B82" s="21">
        <f>AVERAGE(F24:F28)</f>
        <v>0.25919999999999999</v>
      </c>
      <c r="C82" s="21">
        <f>AVERAGE(G24:G28)</f>
        <v>0.27698</v>
      </c>
      <c r="D82" s="21">
        <f>AVERAGE(H24:H28)</f>
        <v>0</v>
      </c>
      <c r="E82" s="21">
        <f>AVERAGE(I24:I28)</f>
        <v>3.3140000000000003E-2</v>
      </c>
    </row>
    <row r="83" spans="1:5" x14ac:dyDescent="0.25">
      <c r="A83" s="7">
        <v>0.55000000000000004</v>
      </c>
      <c r="B83" s="21">
        <f>AVERAGE(F43:F47)</f>
        <v>0.25759999999999994</v>
      </c>
      <c r="C83" s="21">
        <f>AVERAGE(G43:G47)</f>
        <v>0.27698</v>
      </c>
      <c r="D83" s="21">
        <f>AVERAGE(H43:H47)</f>
        <v>0</v>
      </c>
      <c r="E83" s="21">
        <f>AVERAGE(I43:I47)</f>
        <v>3.2440000000000004E-2</v>
      </c>
    </row>
    <row r="84" spans="1:5" x14ac:dyDescent="0.25">
      <c r="A84" s="7">
        <v>0.7</v>
      </c>
      <c r="B84" s="21">
        <f>AVERAGE(F62:F66)</f>
        <v>0.25944</v>
      </c>
      <c r="C84" s="21">
        <f>AVERAGE(G62:G66)</f>
        <v>0.27698</v>
      </c>
      <c r="D84" s="21">
        <f>AVERAGE(H62:H66)</f>
        <v>0</v>
      </c>
      <c r="E84" s="21">
        <f>AVERAGE(I62:I66)</f>
        <v>1.3763999999999998E-2</v>
      </c>
    </row>
    <row r="85" spans="1:5" x14ac:dyDescent="0.25">
      <c r="D85" s="21"/>
    </row>
    <row r="90" spans="1:5" x14ac:dyDescent="0.25">
      <c r="A90" s="19" t="s">
        <v>3</v>
      </c>
      <c r="B90" s="19"/>
      <c r="C90" s="19"/>
    </row>
    <row r="91" spans="1:5" x14ac:dyDescent="0.25">
      <c r="B91" s="1" t="s">
        <v>0</v>
      </c>
      <c r="C91" s="1" t="s">
        <v>1</v>
      </c>
      <c r="D91" s="10" t="s">
        <v>30</v>
      </c>
      <c r="E91" s="11" t="s">
        <v>29</v>
      </c>
    </row>
    <row r="92" spans="1:5" x14ac:dyDescent="0.25">
      <c r="A92" s="7">
        <v>0.15</v>
      </c>
      <c r="B92" s="2">
        <f>AVERAGE(B12:B16)</f>
        <v>0.30241659999999998</v>
      </c>
      <c r="C92" s="2">
        <f>AVERAGE(C12:C16)</f>
        <v>0.27826459999999997</v>
      </c>
      <c r="D92">
        <v>0</v>
      </c>
      <c r="E92" s="2">
        <f>AVERAGE(E12:E16)</f>
        <v>2.5296000000000003E-2</v>
      </c>
    </row>
    <row r="93" spans="1:5" x14ac:dyDescent="0.25">
      <c r="A93" s="7">
        <v>0.35</v>
      </c>
      <c r="B93" s="2">
        <f>AVERAGE(B32:B36)</f>
        <v>0.30241659999999998</v>
      </c>
      <c r="C93" s="2">
        <f>AVERAGE(C32:C36)</f>
        <v>0.28278579999999998</v>
      </c>
      <c r="D93">
        <v>0</v>
      </c>
      <c r="E93" s="2">
        <f>AVERAGE(E51:E55)</f>
        <v>3.696E-2</v>
      </c>
    </row>
    <row r="94" spans="1:5" x14ac:dyDescent="0.25">
      <c r="A94" s="7">
        <v>0.55000000000000004</v>
      </c>
      <c r="B94" s="2">
        <f>AVERAGE(B51:B55)</f>
        <v>0.30241659999999998</v>
      </c>
      <c r="C94" s="2">
        <f>AVERAGE(C51:C55)</f>
        <v>0.28114400000000001</v>
      </c>
      <c r="D94">
        <v>0</v>
      </c>
      <c r="E94" s="2">
        <f>AVERAGE(E51:E55)</f>
        <v>3.696E-2</v>
      </c>
    </row>
    <row r="95" spans="1:5" x14ac:dyDescent="0.25">
      <c r="A95" s="7">
        <v>0.7</v>
      </c>
      <c r="B95" s="2">
        <f>AVERAGE(B70:B74)</f>
        <v>0.30241659999999998</v>
      </c>
      <c r="C95" s="2">
        <f>AVERAGE(C70:C74)</f>
        <v>0.28495399999999999</v>
      </c>
      <c r="D95">
        <v>0</v>
      </c>
      <c r="E95" s="2">
        <f>AVERAGE(E70:E74)</f>
        <v>4.0677959999999999E-2</v>
      </c>
    </row>
  </sheetData>
  <mergeCells count="15">
    <mergeCell ref="A1:G1"/>
    <mergeCell ref="A2:G2"/>
    <mergeCell ref="A10:C10"/>
    <mergeCell ref="A21:G21"/>
    <mergeCell ref="A22:G22"/>
    <mergeCell ref="A30:C30"/>
    <mergeCell ref="A40:G40"/>
    <mergeCell ref="A41:G41"/>
    <mergeCell ref="A49:C49"/>
    <mergeCell ref="A59:G59"/>
    <mergeCell ref="A60:G60"/>
    <mergeCell ref="A68:C68"/>
    <mergeCell ref="A78:G78"/>
    <mergeCell ref="A79:G79"/>
    <mergeCell ref="A90:C90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C17E-2A9C-41C3-A7A1-5A3A8E18F4DE}">
  <dimension ref="A1:I65"/>
  <sheetViews>
    <sheetView tabSelected="1" topLeftCell="A61" zoomScale="85" zoomScaleNormal="85" workbookViewId="0">
      <selection activeCell="P85" sqref="P85"/>
    </sheetView>
  </sheetViews>
  <sheetFormatPr defaultRowHeight="15" x14ac:dyDescent="0.25"/>
  <cols>
    <col min="2" max="2" width="15.85546875" bestFit="1" customWidth="1"/>
    <col min="3" max="3" width="11.5703125" bestFit="1" customWidth="1"/>
    <col min="4" max="4" width="38.28515625" bestFit="1" customWidth="1"/>
    <col min="5" max="5" width="14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20" t="s">
        <v>17</v>
      </c>
      <c r="B1" s="20"/>
      <c r="C1" s="20"/>
      <c r="D1" s="20"/>
      <c r="E1" s="20"/>
      <c r="F1" s="20"/>
      <c r="G1" s="20"/>
    </row>
    <row r="2" spans="1:9" x14ac:dyDescent="0.25">
      <c r="A2" s="17" t="s">
        <v>2</v>
      </c>
      <c r="B2" s="16"/>
      <c r="C2" s="16"/>
      <c r="D2" s="16"/>
      <c r="E2" s="16"/>
      <c r="F2" s="16"/>
      <c r="G2" s="18"/>
    </row>
    <row r="3" spans="1:9" ht="75" x14ac:dyDescent="0.25">
      <c r="A3" s="5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25</v>
      </c>
      <c r="I3" s="11" t="s">
        <v>26</v>
      </c>
    </row>
    <row r="4" spans="1:9" x14ac:dyDescent="0.25">
      <c r="A4" s="1" t="s">
        <v>10</v>
      </c>
      <c r="B4">
        <v>2</v>
      </c>
      <c r="C4">
        <v>1</v>
      </c>
      <c r="D4">
        <v>168</v>
      </c>
      <c r="E4">
        <v>173</v>
      </c>
      <c r="F4">
        <v>16</v>
      </c>
      <c r="G4">
        <v>4</v>
      </c>
      <c r="H4">
        <v>124</v>
      </c>
      <c r="I4">
        <v>41</v>
      </c>
    </row>
    <row r="5" spans="1:9" x14ac:dyDescent="0.25">
      <c r="A5" s="1" t="s">
        <v>11</v>
      </c>
      <c r="B5">
        <v>1</v>
      </c>
      <c r="C5">
        <v>2</v>
      </c>
      <c r="D5">
        <v>183</v>
      </c>
      <c r="E5">
        <v>178</v>
      </c>
      <c r="F5">
        <v>10</v>
      </c>
      <c r="G5">
        <v>9</v>
      </c>
      <c r="H5">
        <v>135</v>
      </c>
      <c r="I5">
        <v>82</v>
      </c>
    </row>
    <row r="6" spans="1:9" x14ac:dyDescent="0.25">
      <c r="A6" s="1" t="s">
        <v>12</v>
      </c>
      <c r="B6">
        <v>81</v>
      </c>
      <c r="C6">
        <v>1</v>
      </c>
      <c r="D6">
        <v>183</v>
      </c>
      <c r="E6">
        <v>169</v>
      </c>
      <c r="F6">
        <v>24</v>
      </c>
      <c r="G6">
        <v>17</v>
      </c>
      <c r="H6">
        <v>136</v>
      </c>
      <c r="I6">
        <v>106</v>
      </c>
    </row>
    <row r="7" spans="1:9" x14ac:dyDescent="0.25">
      <c r="A7" s="1" t="s">
        <v>13</v>
      </c>
      <c r="B7">
        <v>1</v>
      </c>
      <c r="C7">
        <v>21</v>
      </c>
      <c r="D7">
        <v>198</v>
      </c>
      <c r="E7">
        <v>171</v>
      </c>
      <c r="F7">
        <v>24</v>
      </c>
      <c r="G7">
        <v>5</v>
      </c>
      <c r="H7">
        <v>153</v>
      </c>
      <c r="I7">
        <v>119</v>
      </c>
    </row>
    <row r="8" spans="1:9" x14ac:dyDescent="0.25">
      <c r="A8" s="1" t="s">
        <v>14</v>
      </c>
      <c r="B8">
        <v>9</v>
      </c>
      <c r="C8">
        <v>1</v>
      </c>
      <c r="D8">
        <v>181</v>
      </c>
      <c r="E8">
        <v>170</v>
      </c>
      <c r="F8">
        <v>16</v>
      </c>
      <c r="G8">
        <v>10</v>
      </c>
      <c r="H8">
        <v>226</v>
      </c>
      <c r="I8">
        <v>84</v>
      </c>
    </row>
    <row r="13" spans="1:9" x14ac:dyDescent="0.25">
      <c r="A13" s="14" t="s">
        <v>18</v>
      </c>
      <c r="B13" s="14"/>
      <c r="C13" s="14"/>
      <c r="D13" s="14"/>
      <c r="E13" s="14"/>
      <c r="F13" s="14"/>
      <c r="G13" s="14"/>
    </row>
    <row r="14" spans="1:9" x14ac:dyDescent="0.25">
      <c r="A14" s="17" t="s">
        <v>2</v>
      </c>
      <c r="B14" s="16"/>
      <c r="C14" s="16"/>
      <c r="D14" s="16"/>
      <c r="E14" s="16"/>
      <c r="F14" s="16"/>
      <c r="G14" s="18"/>
    </row>
    <row r="15" spans="1:9" ht="75" x14ac:dyDescent="0.25">
      <c r="A15" s="5"/>
      <c r="B15" s="1" t="s">
        <v>6</v>
      </c>
      <c r="C15" s="4" t="s">
        <v>7</v>
      </c>
      <c r="D15" s="1" t="s">
        <v>8</v>
      </c>
      <c r="E15" s="4" t="s">
        <v>9</v>
      </c>
      <c r="F15" s="1" t="s">
        <v>1</v>
      </c>
      <c r="G15" s="1" t="s">
        <v>0</v>
      </c>
      <c r="H15" s="10" t="s">
        <v>25</v>
      </c>
      <c r="I15" s="11" t="s">
        <v>26</v>
      </c>
    </row>
    <row r="16" spans="1:9" x14ac:dyDescent="0.25">
      <c r="A16" s="1" t="s">
        <v>10</v>
      </c>
      <c r="B16">
        <v>4</v>
      </c>
      <c r="C16">
        <v>68</v>
      </c>
      <c r="D16">
        <v>164</v>
      </c>
      <c r="E16">
        <v>172</v>
      </c>
      <c r="F16">
        <v>11</v>
      </c>
      <c r="G16">
        <v>4</v>
      </c>
      <c r="H16">
        <v>75</v>
      </c>
      <c r="I16">
        <v>78</v>
      </c>
    </row>
    <row r="17" spans="1:9" x14ac:dyDescent="0.25">
      <c r="A17" s="1" t="s">
        <v>11</v>
      </c>
      <c r="B17">
        <v>43</v>
      </c>
      <c r="C17">
        <v>1</v>
      </c>
      <c r="D17">
        <v>126</v>
      </c>
      <c r="E17">
        <v>170</v>
      </c>
      <c r="F17">
        <v>20</v>
      </c>
      <c r="G17">
        <v>9</v>
      </c>
      <c r="H17">
        <v>157</v>
      </c>
      <c r="I17">
        <v>60</v>
      </c>
    </row>
    <row r="18" spans="1:9" x14ac:dyDescent="0.25">
      <c r="A18" s="1" t="s">
        <v>12</v>
      </c>
      <c r="B18">
        <v>82</v>
      </c>
      <c r="C18">
        <v>53</v>
      </c>
      <c r="D18">
        <v>171</v>
      </c>
      <c r="E18">
        <v>151</v>
      </c>
      <c r="F18">
        <v>22</v>
      </c>
      <c r="G18">
        <v>17</v>
      </c>
      <c r="H18">
        <v>200</v>
      </c>
      <c r="I18">
        <v>71</v>
      </c>
    </row>
    <row r="19" spans="1:9" x14ac:dyDescent="0.25">
      <c r="A19" s="1" t="s">
        <v>13</v>
      </c>
      <c r="B19">
        <v>106</v>
      </c>
      <c r="C19">
        <v>25</v>
      </c>
      <c r="D19">
        <v>145</v>
      </c>
      <c r="E19">
        <v>165</v>
      </c>
      <c r="F19">
        <v>13</v>
      </c>
      <c r="G19">
        <v>5</v>
      </c>
      <c r="H19">
        <v>71</v>
      </c>
      <c r="I19">
        <v>99</v>
      </c>
    </row>
    <row r="20" spans="1:9" x14ac:dyDescent="0.25">
      <c r="A20" s="1" t="s">
        <v>14</v>
      </c>
      <c r="B20">
        <v>31</v>
      </c>
      <c r="C20">
        <v>1</v>
      </c>
      <c r="D20">
        <v>168</v>
      </c>
      <c r="E20">
        <v>174</v>
      </c>
      <c r="F20">
        <v>15</v>
      </c>
      <c r="G20">
        <v>10</v>
      </c>
      <c r="H20">
        <v>129</v>
      </c>
      <c r="I20">
        <v>55</v>
      </c>
    </row>
    <row r="24" spans="1:9" x14ac:dyDescent="0.25">
      <c r="A24" s="14" t="s">
        <v>20</v>
      </c>
      <c r="B24" s="14"/>
      <c r="C24" s="14"/>
      <c r="D24" s="14"/>
      <c r="E24" s="14"/>
      <c r="F24" s="14"/>
      <c r="G24" s="14"/>
    </row>
    <row r="25" spans="1:9" x14ac:dyDescent="0.25">
      <c r="A25" s="17" t="s">
        <v>2</v>
      </c>
      <c r="B25" s="16"/>
      <c r="C25" s="16"/>
      <c r="D25" s="16"/>
      <c r="E25" s="16"/>
      <c r="F25" s="16"/>
      <c r="G25" s="18"/>
    </row>
    <row r="26" spans="1:9" ht="75" x14ac:dyDescent="0.25">
      <c r="A26" s="5"/>
      <c r="B26" s="1" t="s">
        <v>6</v>
      </c>
      <c r="C26" s="4" t="s">
        <v>7</v>
      </c>
      <c r="D26" s="1" t="s">
        <v>8</v>
      </c>
      <c r="E26" s="4" t="s">
        <v>9</v>
      </c>
      <c r="F26" s="1" t="s">
        <v>1</v>
      </c>
      <c r="G26" s="1" t="s">
        <v>0</v>
      </c>
      <c r="H26" s="10" t="s">
        <v>25</v>
      </c>
      <c r="I26" s="11" t="s">
        <v>26</v>
      </c>
    </row>
    <row r="27" spans="1:9" x14ac:dyDescent="0.25">
      <c r="A27" s="1" t="s">
        <v>10</v>
      </c>
      <c r="B27">
        <v>15</v>
      </c>
      <c r="C27">
        <v>80</v>
      </c>
      <c r="D27">
        <v>138</v>
      </c>
      <c r="E27">
        <v>149</v>
      </c>
      <c r="F27">
        <v>20</v>
      </c>
      <c r="G27">
        <v>4</v>
      </c>
      <c r="H27">
        <v>136</v>
      </c>
      <c r="I27">
        <v>60</v>
      </c>
    </row>
    <row r="28" spans="1:9" x14ac:dyDescent="0.25">
      <c r="A28" s="1" t="s">
        <v>11</v>
      </c>
      <c r="B28">
        <v>35</v>
      </c>
      <c r="C28">
        <v>1</v>
      </c>
      <c r="D28">
        <v>142</v>
      </c>
      <c r="E28">
        <v>168</v>
      </c>
      <c r="F28">
        <v>24</v>
      </c>
      <c r="G28">
        <v>9</v>
      </c>
      <c r="H28">
        <v>131</v>
      </c>
      <c r="I28">
        <v>67</v>
      </c>
    </row>
    <row r="29" spans="1:9" x14ac:dyDescent="0.25">
      <c r="A29" s="1" t="s">
        <v>12</v>
      </c>
      <c r="B29">
        <v>40</v>
      </c>
      <c r="C29">
        <v>3</v>
      </c>
      <c r="D29">
        <v>118</v>
      </c>
      <c r="E29">
        <v>123</v>
      </c>
      <c r="F29">
        <v>25</v>
      </c>
      <c r="G29">
        <v>17</v>
      </c>
      <c r="H29">
        <v>111</v>
      </c>
      <c r="I29">
        <v>83</v>
      </c>
    </row>
    <row r="30" spans="1:9" x14ac:dyDescent="0.25">
      <c r="A30" s="1" t="s">
        <v>13</v>
      </c>
      <c r="B30">
        <v>41</v>
      </c>
      <c r="C30">
        <v>73</v>
      </c>
      <c r="D30">
        <v>118</v>
      </c>
      <c r="E30">
        <v>128</v>
      </c>
      <c r="F30">
        <v>19</v>
      </c>
      <c r="G30">
        <v>5</v>
      </c>
      <c r="H30">
        <v>80</v>
      </c>
      <c r="I30">
        <v>86</v>
      </c>
    </row>
    <row r="31" spans="1:9" x14ac:dyDescent="0.25">
      <c r="A31" s="1" t="s">
        <v>14</v>
      </c>
      <c r="B31">
        <v>10</v>
      </c>
      <c r="C31">
        <v>2</v>
      </c>
      <c r="D31">
        <v>150</v>
      </c>
      <c r="E31">
        <v>167</v>
      </c>
      <c r="F31">
        <v>16</v>
      </c>
      <c r="G31">
        <v>10</v>
      </c>
      <c r="H31">
        <v>126</v>
      </c>
      <c r="I31">
        <v>55</v>
      </c>
    </row>
    <row r="36" spans="1:9" x14ac:dyDescent="0.25">
      <c r="A36" s="14" t="s">
        <v>22</v>
      </c>
      <c r="B36" s="14"/>
      <c r="C36" s="14"/>
      <c r="D36" s="14"/>
      <c r="E36" s="14"/>
      <c r="F36" s="14"/>
      <c r="G36" s="14"/>
    </row>
    <row r="37" spans="1:9" x14ac:dyDescent="0.25">
      <c r="A37" s="17" t="s">
        <v>2</v>
      </c>
      <c r="B37" s="16"/>
      <c r="C37" s="16"/>
      <c r="D37" s="16"/>
      <c r="E37" s="16"/>
      <c r="F37" s="16"/>
      <c r="G37" s="18"/>
    </row>
    <row r="38" spans="1:9" ht="75" x14ac:dyDescent="0.25">
      <c r="A38" s="5"/>
      <c r="B38" s="1" t="s">
        <v>6</v>
      </c>
      <c r="C38" s="4" t="s">
        <v>7</v>
      </c>
      <c r="D38" s="1" t="s">
        <v>8</v>
      </c>
      <c r="E38" s="4" t="s">
        <v>9</v>
      </c>
      <c r="F38" s="1" t="s">
        <v>1</v>
      </c>
      <c r="G38" s="1" t="s">
        <v>0</v>
      </c>
      <c r="H38" s="10" t="s">
        <v>25</v>
      </c>
      <c r="I38" s="11" t="s">
        <v>26</v>
      </c>
    </row>
    <row r="39" spans="1:9" x14ac:dyDescent="0.25">
      <c r="A39" s="1" t="s">
        <v>10</v>
      </c>
      <c r="B39">
        <v>16</v>
      </c>
      <c r="C39">
        <v>52</v>
      </c>
      <c r="D39">
        <v>73</v>
      </c>
      <c r="E39">
        <v>81</v>
      </c>
      <c r="F39">
        <v>15</v>
      </c>
      <c r="G39">
        <v>4</v>
      </c>
      <c r="H39">
        <v>77</v>
      </c>
      <c r="I39">
        <v>106</v>
      </c>
    </row>
    <row r="40" spans="1:9" x14ac:dyDescent="0.25">
      <c r="A40" s="1" t="s">
        <v>11</v>
      </c>
      <c r="B40">
        <v>56</v>
      </c>
      <c r="C40">
        <v>18</v>
      </c>
      <c r="D40">
        <v>72</v>
      </c>
      <c r="E40">
        <v>102</v>
      </c>
      <c r="F40">
        <v>18</v>
      </c>
      <c r="G40">
        <v>9</v>
      </c>
      <c r="H40">
        <v>89</v>
      </c>
      <c r="I40">
        <v>211</v>
      </c>
    </row>
    <row r="41" spans="1:9" x14ac:dyDescent="0.25">
      <c r="A41" s="1" t="s">
        <v>12</v>
      </c>
      <c r="B41">
        <v>11</v>
      </c>
      <c r="C41">
        <v>1</v>
      </c>
      <c r="D41">
        <v>70</v>
      </c>
      <c r="E41">
        <v>53</v>
      </c>
      <c r="F41">
        <v>35</v>
      </c>
      <c r="G41">
        <v>17</v>
      </c>
      <c r="H41">
        <v>120</v>
      </c>
      <c r="I41">
        <v>197</v>
      </c>
    </row>
    <row r="42" spans="1:9" x14ac:dyDescent="0.25">
      <c r="A42" s="1" t="s">
        <v>13</v>
      </c>
      <c r="B42">
        <v>21</v>
      </c>
      <c r="C42">
        <v>23</v>
      </c>
      <c r="D42">
        <v>77</v>
      </c>
      <c r="E42">
        <v>97</v>
      </c>
      <c r="F42">
        <v>15</v>
      </c>
      <c r="G42">
        <v>5</v>
      </c>
      <c r="H42">
        <v>250</v>
      </c>
      <c r="I42">
        <v>68</v>
      </c>
    </row>
    <row r="43" spans="1:9" x14ac:dyDescent="0.25">
      <c r="A43" s="1" t="s">
        <v>14</v>
      </c>
      <c r="B43">
        <v>109</v>
      </c>
      <c r="C43">
        <v>2</v>
      </c>
      <c r="D43">
        <v>72</v>
      </c>
      <c r="E43">
        <v>113</v>
      </c>
      <c r="F43">
        <v>22</v>
      </c>
      <c r="G43">
        <v>10</v>
      </c>
      <c r="H43">
        <v>81</v>
      </c>
      <c r="I43">
        <v>195</v>
      </c>
    </row>
    <row r="59" spans="1:9" x14ac:dyDescent="0.25">
      <c r="A59" s="13" t="s">
        <v>24</v>
      </c>
      <c r="B59" s="13"/>
      <c r="C59" s="13"/>
      <c r="D59" s="13"/>
      <c r="E59" s="13"/>
      <c r="F59" s="13"/>
      <c r="G59" s="13"/>
    </row>
    <row r="60" spans="1:9" x14ac:dyDescent="0.25">
      <c r="A60" s="17" t="s">
        <v>2</v>
      </c>
      <c r="B60" s="16"/>
      <c r="C60" s="16"/>
      <c r="D60" s="16"/>
      <c r="E60" s="16"/>
      <c r="F60" s="16"/>
      <c r="G60" s="18"/>
    </row>
    <row r="61" spans="1:9" ht="75" x14ac:dyDescent="0.25">
      <c r="A61" s="6"/>
      <c r="B61" s="1" t="s">
        <v>6</v>
      </c>
      <c r="C61" s="4" t="s">
        <v>7</v>
      </c>
      <c r="D61" s="1" t="s">
        <v>8</v>
      </c>
      <c r="E61" s="4" t="s">
        <v>9</v>
      </c>
      <c r="F61" s="1" t="s">
        <v>1</v>
      </c>
      <c r="G61" s="1" t="s">
        <v>0</v>
      </c>
      <c r="H61" s="10" t="s">
        <v>30</v>
      </c>
      <c r="I61" s="11" t="s">
        <v>29</v>
      </c>
    </row>
    <row r="62" spans="1:9" x14ac:dyDescent="0.25">
      <c r="A62" s="7">
        <v>0.15</v>
      </c>
      <c r="B62">
        <f>AVERAGE(B4:B8)</f>
        <v>18.8</v>
      </c>
      <c r="C62">
        <f>AVERAGE(C4:C8)</f>
        <v>5.2</v>
      </c>
      <c r="D62">
        <f>AVERAGE(D4:D8)</f>
        <v>182.6</v>
      </c>
      <c r="E62">
        <f t="shared" ref="E62:G62" si="0">AVERAGE(E4:E8)</f>
        <v>172.2</v>
      </c>
      <c r="F62">
        <f t="shared" si="0"/>
        <v>18</v>
      </c>
      <c r="G62">
        <f t="shared" si="0"/>
        <v>9</v>
      </c>
      <c r="H62">
        <f>AVERAGE(H4:H8)</f>
        <v>154.80000000000001</v>
      </c>
      <c r="I62">
        <f>AVERAGE(I4:I8)</f>
        <v>86.4</v>
      </c>
    </row>
    <row r="63" spans="1:9" x14ac:dyDescent="0.25">
      <c r="A63" s="7">
        <v>0.35</v>
      </c>
      <c r="B63">
        <f>AVERAGE(B16:B20)</f>
        <v>53.2</v>
      </c>
      <c r="C63">
        <f>AVERAGE(C16:C20)</f>
        <v>29.6</v>
      </c>
      <c r="D63">
        <f t="shared" ref="D63:G63" si="1">AVERAGE(D16:D20)</f>
        <v>154.80000000000001</v>
      </c>
      <c r="E63">
        <f t="shared" si="1"/>
        <v>166.4</v>
      </c>
      <c r="F63">
        <f t="shared" si="1"/>
        <v>16.2</v>
      </c>
      <c r="G63">
        <f t="shared" si="1"/>
        <v>9</v>
      </c>
      <c r="H63">
        <f>AVERAGE(H16:H20)</f>
        <v>126.4</v>
      </c>
      <c r="I63">
        <f>AVERAGE(I16:I20)</f>
        <v>72.599999999999994</v>
      </c>
    </row>
    <row r="64" spans="1:9" x14ac:dyDescent="0.25">
      <c r="A64" s="7">
        <v>0.55000000000000004</v>
      </c>
      <c r="B64">
        <f>AVERAGE(B27:B31)</f>
        <v>28.2</v>
      </c>
      <c r="C64">
        <f t="shared" ref="C64:G64" si="2">AVERAGE(C27:C31)</f>
        <v>31.8</v>
      </c>
      <c r="D64">
        <f t="shared" si="2"/>
        <v>133.19999999999999</v>
      </c>
      <c r="E64">
        <f t="shared" si="2"/>
        <v>147</v>
      </c>
      <c r="F64">
        <f t="shared" si="2"/>
        <v>20.8</v>
      </c>
      <c r="G64">
        <f t="shared" si="2"/>
        <v>9</v>
      </c>
      <c r="H64">
        <f>AVERAGE(H27:H31)</f>
        <v>116.8</v>
      </c>
      <c r="I64">
        <f>AVERAGE(I27:I31)</f>
        <v>70.2</v>
      </c>
    </row>
    <row r="65" spans="1:9" x14ac:dyDescent="0.25">
      <c r="A65" s="7">
        <v>0.7</v>
      </c>
      <c r="B65">
        <f>AVERAGE(B39:B43)</f>
        <v>42.6</v>
      </c>
      <c r="C65">
        <f t="shared" ref="C65:G65" si="3">AVERAGE(C39:C43)</f>
        <v>19.2</v>
      </c>
      <c r="D65">
        <f t="shared" si="3"/>
        <v>72.8</v>
      </c>
      <c r="E65">
        <f t="shared" si="3"/>
        <v>89.2</v>
      </c>
      <c r="F65">
        <f t="shared" si="3"/>
        <v>21</v>
      </c>
      <c r="G65">
        <f t="shared" si="3"/>
        <v>9</v>
      </c>
      <c r="H65">
        <f>AVERAGE(H39:H43)</f>
        <v>123.4</v>
      </c>
      <c r="I65">
        <f>AVERAGE(I39:I43)</f>
        <v>155.4</v>
      </c>
    </row>
  </sheetData>
  <mergeCells count="10">
    <mergeCell ref="A59:G59"/>
    <mergeCell ref="A60:G60"/>
    <mergeCell ref="A36:G36"/>
    <mergeCell ref="A37:G37"/>
    <mergeCell ref="A1:G1"/>
    <mergeCell ref="A2:G2"/>
    <mergeCell ref="A13:G13"/>
    <mergeCell ref="A14:G14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2024-07-31T23:17:36Z</dcterms:created>
  <dcterms:modified xsi:type="dcterms:W3CDTF">2024-11-22T16:39:53Z</dcterms:modified>
</cp:coreProperties>
</file>
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310A19EE-57B8-4AE0-A02D-3682C76D6AE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dge Cuts" sheetId="1" r:id="rId1"/>
    <sheet name="Graph sizes" sheetId="8" r:id="rId2"/>
    <sheet name="Runtimes" sheetId="3" r:id="rId3"/>
    <sheet name="CCM" sheetId="5" r:id="rId4"/>
    <sheet name="Contiguity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7" l="1"/>
  <c r="I65" i="7"/>
  <c r="I64" i="7"/>
  <c r="I63" i="7"/>
  <c r="H65" i="7"/>
  <c r="H64" i="7"/>
  <c r="H63" i="7"/>
  <c r="H62" i="7"/>
  <c r="E95" i="5"/>
  <c r="E94" i="5"/>
  <c r="E93" i="5"/>
  <c r="E92" i="5"/>
  <c r="E84" i="5"/>
  <c r="E83" i="5"/>
  <c r="E82" i="5"/>
  <c r="E81" i="5"/>
  <c r="D84" i="5"/>
  <c r="D83" i="5"/>
  <c r="D82" i="5"/>
  <c r="D81" i="5"/>
  <c r="I55" i="3"/>
  <c r="I54" i="3"/>
  <c r="I53" i="3"/>
  <c r="I52" i="3"/>
  <c r="H55" i="3"/>
  <c r="H54" i="3"/>
  <c r="H53" i="3"/>
  <c r="H52" i="3"/>
  <c r="I57" i="1"/>
  <c r="I56" i="1"/>
  <c r="I55" i="1"/>
  <c r="I54" i="1"/>
  <c r="H57" i="1"/>
  <c r="H56" i="1"/>
  <c r="H55" i="1"/>
  <c r="H54" i="1"/>
  <c r="B55" i="3"/>
  <c r="B54" i="1"/>
  <c r="G54" i="1"/>
  <c r="G55" i="1"/>
  <c r="G57" i="1"/>
  <c r="G56" i="1"/>
  <c r="C55" i="1"/>
  <c r="B57" i="1"/>
  <c r="B56" i="1"/>
  <c r="B55" i="1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F57" i="1"/>
  <c r="E57" i="1"/>
  <c r="D57" i="1"/>
  <c r="C57" i="1"/>
  <c r="F56" i="1"/>
  <c r="E56" i="1"/>
  <c r="D56" i="1"/>
  <c r="C56" i="1"/>
  <c r="F55" i="1"/>
  <c r="E55" i="1"/>
  <c r="D55" i="1"/>
  <c r="F54" i="1"/>
  <c r="E54" i="1"/>
  <c r="D54" i="1"/>
  <c r="C54" i="1"/>
  <c r="G55" i="3"/>
  <c r="G54" i="3"/>
  <c r="G53" i="3"/>
  <c r="G52" i="3"/>
  <c r="F55" i="3"/>
  <c r="F54" i="3"/>
  <c r="F53" i="3"/>
  <c r="F52" i="3"/>
  <c r="E55" i="3"/>
  <c r="E54" i="3"/>
  <c r="E53" i="3"/>
  <c r="E52" i="3"/>
  <c r="D55" i="3"/>
  <c r="D54" i="3"/>
  <c r="D53" i="3"/>
  <c r="D52" i="3"/>
  <c r="C55" i="3"/>
  <c r="C54" i="3"/>
  <c r="C53" i="3"/>
  <c r="C52" i="3"/>
  <c r="B54" i="3"/>
  <c r="B53" i="3"/>
  <c r="B52" i="3"/>
  <c r="J65" i="1" l="1"/>
  <c r="K66" i="1"/>
  <c r="K64" i="1"/>
  <c r="K67" i="1"/>
  <c r="H66" i="1"/>
  <c r="H67" i="1"/>
  <c r="H65" i="1"/>
  <c r="I64" i="1"/>
  <c r="I67" i="1"/>
  <c r="I66" i="1"/>
  <c r="K65" i="1"/>
  <c r="J64" i="1"/>
  <c r="I65" i="1"/>
  <c r="J67" i="1"/>
  <c r="H64" i="1"/>
  <c r="J66" i="1"/>
</calcChain>
</file>

<file path=xl/sharedStrings.xml><?xml version="1.0" encoding="utf-8"?>
<sst xmlns="http://schemas.openxmlformats.org/spreadsheetml/2006/main" count="435" uniqueCount="53">
  <si>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</si>
  <si>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</si>
  <si>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</si>
  <si>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</si>
  <si>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</si>
  <si>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</si>
  <si>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</si>
  <si>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</si>
  <si>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</si>
  <si>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</si>
  <si>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</si>
  <si>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</si>
  <si>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</si>
  <si>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</si>
  <si>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</si>
  <si>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</si>
  <si>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</si>
  <si>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</t>
  </si>
  <si>
    <t>Average Results</t>
  </si>
  <si>
    <t>K = 4, Graph = 4elt, Contraction = 15%, f = [0.3] Contraction limit = 6633</t>
  </si>
  <si>
    <t>K = 4, Graph = 4elt, Contraction = 35%, f = [0.3] Contraction limit = 5072</t>
  </si>
  <si>
    <t>K = 4, Graph = 4elt, Contraction = 55%, f = [0.3], CONTRACTION_LIMIT = 3511</t>
  </si>
  <si>
    <t>K = 4, Graph = 4elt, Contraction = 70%, f = [0.3], CONTRACTION_LIMIT = 2341</t>
  </si>
  <si>
    <t>Partition Sizes = [2522,3279,4262,5543]</t>
  </si>
  <si>
    <t>Deep Multilevel, ε= 0.0</t>
  </si>
  <si>
    <t>Deep Multilevel, ε = 0.05</t>
  </si>
  <si>
    <t>Partition Sizes = 2522,3279,4262,5543]</t>
  </si>
  <si>
    <t>Deep Multilevel, ε = 5</t>
  </si>
  <si>
    <t>Deep Multilevel, ε= 0</t>
  </si>
  <si>
    <t>K =4, Graph = 4elt, Contraction = 70%, Cardinality Sizes = [2522, 3279, 4263, 5542] at f = 0.3, CL= 2341</t>
  </si>
  <si>
    <t>Deep Multilevel, ε = 780</t>
  </si>
  <si>
    <t>4elt graph</t>
  </si>
  <si>
    <t>edge cut</t>
  </si>
  <si>
    <t>4elt runtime</t>
  </si>
  <si>
    <t>CCM 4elt</t>
  </si>
  <si>
    <t>Deep Multilevel, ε = 57</t>
  </si>
  <si>
    <t>Edge cut email</t>
  </si>
  <si>
    <t>Runtime email</t>
  </si>
  <si>
    <t>CCM email</t>
  </si>
  <si>
    <t>Deep Multilevel, ε = 534</t>
  </si>
  <si>
    <t>edge cut pgp</t>
  </si>
  <si>
    <t>runtime pgp</t>
  </si>
  <si>
    <t>Deep Multilevel, ε =  534</t>
  </si>
  <si>
    <t>Email (1133 nodes)</t>
  </si>
  <si>
    <t>PGP (10680 nodes)</t>
  </si>
  <si>
    <t>4elt (15606 nodes)</t>
  </si>
  <si>
    <t>Deep NUGP, ε= 0.0</t>
  </si>
  <si>
    <t>Deep NUGP, Relaxed ε</t>
  </si>
  <si>
    <t>Deep NUGP, ε = 210</t>
  </si>
  <si>
    <t>Deep NUGP, ε = 780</t>
  </si>
  <si>
    <t>Deep NUGP, ε = 1561</t>
  </si>
  <si>
    <t>Deep NUGP</t>
  </si>
  <si>
    <t xml:space="preserve">Edge Cut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</si>
</sst>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3" fillId="0" borderId="1" xfId="0" applyNumberFormat="1" applyFont="1" applyBorder="1" applyAlignment="1">
      <alignment horizontal="center" vertical="top"/>
    </xf>
    <xf numFmtId="9" fontId="3" fillId="0" borderId="6" xfId="0" applyNumberFormat="1" applyFont="1" applyBorder="1" applyAlignment="1">
      <alignment horizontal="center" vertical="top"/>
    </xf>
    <xf numFmtId="49" fontId="4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0" fontId="4" fillId="0" borderId="0" xfId="0" applyNumberFormat="1" applyFont="1"/>
    <xf numFmtId="9" fontId="0" fillId="0" borderId="0" xfId="1" applyFont="1"/>
    <xf numFmtId="0" fontId="4" fillId="0" borderId="0" xfId="0" applyFont="1"/>
    <xf numFmtId="0" fontId="4" fillId="0" borderId="2" xfId="0" applyFont="1" applyBorder="1"/>
    <xf numFmtId="0" fontId="3" fillId="0" borderId="7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9" fontId="4" fillId="0" borderId="0" xfId="0" applyNumberFormat="1" applyFont="1"/>
    <xf numFmtId="0" fontId="6" fillId="0" borderId="2" xfId="0" applyFont="1" applyBorder="1"/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6" fillId="0" borderId="0" xfId="0" applyFon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164" fontId="6" fillId="0" borderId="0" xfId="0" applyNumberFormat="1" applyFont="1"/>
    <xf numFmtId="0" fontId="3" fillId="0" borderId="0" xfId="0" applyFont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399.2</c:v>
                </c:pt>
                <c:pt idx="1">
                  <c:v>389.2</c:v>
                </c:pt>
                <c:pt idx="2">
                  <c:v>384.4</c:v>
                </c:pt>
                <c:pt idx="3">
                  <c:v>389.2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03F-4992-AD85-1A46C59C5712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343.2</c:v>
                </c:pt>
                <c:pt idx="1">
                  <c:v>343.2</c:v>
                </c:pt>
                <c:pt idx="2">
                  <c:v>343.2</c:v>
                </c:pt>
                <c:pt idx="3">
                  <c:v>343.2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03F-4992-AD85-1A46C59C5712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3280.2</c:v>
                </c:pt>
                <c:pt idx="1">
                  <c:v>1836</c:v>
                </c:pt>
                <c:pt idx="2">
                  <c:v>2079.6</c:v>
                </c:pt>
                <c:pt idx="3">
                  <c:v>458.2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0-45F3-87F3-290CD45ADC48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1394</c:v>
                </c:pt>
                <c:pt idx="1">
                  <c:v>1203.4000000000001</c:v>
                </c:pt>
                <c:pt idx="2">
                  <c:v>1624.8</c:v>
                </c:pt>
                <c:pt idx="3">
                  <c:v>1157.4000000000001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50-45F3-87F3-290CD45A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328623"/>
        <c:axId val="4063363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1457.6</c:v>
                      </c:pt>
                      <c:pt idx="1">
                        <c:v>1481.4</c:v>
                      </c:pt>
                      <c:pt idx="2">
                        <c:v>2512.8000000000002</c:v>
                      </c:pt>
                      <c:pt idx="3">
                        <c:v>3265.6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03F-4992-AD85-1A46C59C571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1414.4</c:v>
                      </c:pt>
                      <c:pt idx="1">
                        <c:v>1451.8</c:v>
                      </c:pt>
                      <c:pt idx="2">
                        <c:v>1330.6</c:v>
                      </c:pt>
                      <c:pt idx="3">
                        <c:v>1525.6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03F-4992-AD85-1A46C59C571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2942.8</c:v>
                      </c:pt>
                      <c:pt idx="1">
                        <c:v>3610.6</c:v>
                      </c:pt>
                      <c:pt idx="2">
                        <c:v>3031.4</c:v>
                      </c:pt>
                      <c:pt idx="3">
                        <c:v>3334.4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3F-4992-AD85-1A46C59C571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3302</c:v>
                      </c:pt>
                      <c:pt idx="1">
                        <c:v>3031.4</c:v>
                      </c:pt>
                      <c:pt idx="2">
                        <c:v>2966.6</c:v>
                      </c:pt>
                      <c:pt idx="3">
                        <c:v>2905.8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3F-4992-AD85-1A46C59C5712}"/>
                  </c:ext>
                </c:extLst>
              </c15:ser>
            </c15:filteredScatterSeries>
          </c:ext>
        </c:extLst>
      </c:scatterChart>
      <c:valAx>
        <c:axId val="40632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36303"/>
        <c:crosses val="autoZero"/>
        <c:crossBetween val="midCat"/>
      </c:valAx>
      <c:valAx>
        <c:axId val="40633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2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Cuts'!$H$63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Cuts'!$H$64:$H$67</c:f>
              <c:numCache>
                <c:formatCode>0%</c:formatCode>
                <c:ptCount val="4"/>
                <c:pt idx="0">
                  <c:v>-0.16317016317016317</c:v>
                </c:pt>
                <c:pt idx="1">
                  <c:v>-0.13403263403263405</c:v>
                </c:pt>
                <c:pt idx="2">
                  <c:v>-0.12004662004662002</c:v>
                </c:pt>
                <c:pt idx="3">
                  <c:v>-0.13403263403263405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3B-49FF-9DF7-752B01358881}"/>
            </c:ext>
          </c:extLst>
        </c:ser>
        <c:ser>
          <c:idx val="1"/>
          <c:order val="1"/>
          <c:tx>
            <c:strRef>
              <c:f>'Edge Cuts'!$I$63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Cuts'!$I$64:$I$67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3B-49FF-9DF7-752B01358881}"/>
            </c:ext>
          </c:extLst>
        </c:ser>
        <c:ser>
          <c:idx val="2"/>
          <c:order val="2"/>
          <c:tx>
            <c:strRef>
              <c:f>'Edge Cuts'!$J$63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Cuts'!$J$64:$J$67</c:f>
              <c:numCache>
                <c:formatCode>0%</c:formatCode>
                <c:ptCount val="4"/>
                <c:pt idx="0">
                  <c:v>-8.5576923076923084</c:v>
                </c:pt>
                <c:pt idx="1">
                  <c:v>-4.34965034965035</c:v>
                </c:pt>
                <c:pt idx="2">
                  <c:v>-5.0594405594405591</c:v>
                </c:pt>
                <c:pt idx="3">
                  <c:v>-0.33508158508158509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3B-49FF-9DF7-752B01358881}"/>
            </c:ext>
          </c:extLst>
        </c:ser>
        <c:ser>
          <c:idx val="3"/>
          <c:order val="3"/>
          <c:tx>
            <c:strRef>
              <c:f>'Edge Cuts'!$K$63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Cuts'!$K$64:$K$67</c:f>
              <c:numCache>
                <c:formatCode>0%</c:formatCode>
                <c:ptCount val="4"/>
                <c:pt idx="0">
                  <c:v>-3.061771561771562</c:v>
                </c:pt>
                <c:pt idx="1">
                  <c:v>-2.5064102564102568</c:v>
                </c:pt>
                <c:pt idx="2">
                  <c:v>-3.7342657342657342</c:v>
                </c:pt>
                <c:pt idx="3">
                  <c:v>-2.3723776223776225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3B-49FF-9DF7-752B01358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6752287"/>
        <c:axId val="1796753247"/>
      </c:scatterChart>
      <c:valAx>
        <c:axId val="179675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3247"/>
        <c:crosses val="autoZero"/>
        <c:crossBetween val="midCat"/>
      </c:valAx>
      <c:valAx>
        <c:axId val="17967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Decline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Epislon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1"/>
          <c:tx>
            <c:strRef>
              <c:f>'Edge Cuts'!$D$160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Cuts'!$D$162</c:f>
              <c:numCache>
                <c:formatCode>0%</c:formatCode>
                <c:ptCount val="1"/>
                <c:pt idx="0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2E-4201-9FE8-7730E3B81BB4}"/>
            </c:ext>
          </c:extLst>
        </c:ser>
        <c:ser>
          <c:idx val="3"/>
          <c:order val="2"/>
          <c:tx>
            <c:strRef>
              <c:f>'Edge Cuts'!$E$160</c:f>
              <c:strCache>
                <c:ptCount val="1"/>
                <c:pt idx="0">
                  <c:v>Deep NUGP, ε = 210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Cuts'!$E$162</c:f>
              <c:numCache>
                <c:formatCode>0%</c:formatCode>
                <c:ptCount val="1"/>
                <c:pt idx="0">
                  <c:v>-0.27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2E-4201-9FE8-7730E3B81BB4}"/>
            </c:ext>
          </c:extLst>
        </c:ser>
        <c:ser>
          <c:idx val="4"/>
          <c:order val="3"/>
          <c:tx>
            <c:strRef>
              <c:f>'Edge Cuts'!$F$160</c:f>
              <c:strCache>
                <c:ptCount val="1"/>
                <c:pt idx="0">
                  <c:v>Deep NUGP, ε = 780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Cuts'!$F$162</c:f>
              <c:numCache>
                <c:formatCode>0%</c:formatCode>
                <c:ptCount val="1"/>
                <c:pt idx="0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2E-4201-9FE8-7730E3B81BB4}"/>
            </c:ext>
          </c:extLst>
        </c:ser>
        <c:ser>
          <c:idx val="5"/>
          <c:order val="4"/>
          <c:tx>
            <c:strRef>
              <c:f>'Edge Cuts'!$G$160</c:f>
              <c:strCache>
                <c:ptCount val="1"/>
                <c:pt idx="0">
                  <c:v>Deep NUGP, ε = 1561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Cuts'!$G$162</c:f>
              <c:numCache>
                <c:formatCode>0%</c:formatCode>
                <c:ptCount val="1"/>
                <c:pt idx="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2E-4201-9FE8-7730E3B81BB4}"/>
            </c:ext>
          </c:extLst>
        </c:ser>
        <c:ser>
          <c:idx val="0"/>
          <c:order val="5"/>
          <c:tx>
            <c:strRef>
              <c:f>'Edge Cuts'!$B$160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Cuts'!$B$162</c:f>
              <c:numCache>
                <c:formatCode>0%</c:formatCode>
                <c:ptCount val="1"/>
                <c:pt idx="0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E-4201-9FE8-7730E3B81B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211103"/>
        <c:axId val="1506203903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Cuts'!$C$160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'Edge Cuts'!$A$162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Cuts'!$C$162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B2E-4201-9FE8-7730E3B81BB4}"/>
                  </c:ext>
                </c:extLst>
              </c15:ser>
            </c15:filteredBarSeries>
          </c:ext>
        </c:extLst>
      </c:barChart>
      <c:catAx>
        <c:axId val="15062111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6203903"/>
        <c:crosses val="autoZero"/>
        <c:auto val="1"/>
        <c:lblAlgn val="ctr"/>
        <c:lblOffset val="100"/>
        <c:tickMarkSkip val="1"/>
        <c:noMultiLvlLbl val="0"/>
      </c:catAx>
      <c:valAx>
        <c:axId val="15062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2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</a:t>
            </a:r>
            <a:r>
              <a:rPr lang="en-US" sz="2000" baseline="0"/>
              <a:t> Edge cut as Epislon varies (4elt graph)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Cuts'!$B$179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6-4020-A92A-FA90DA07C69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6-4020-A92A-FA90DA07C69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6-4020-A92A-FA90DA07C69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6-4020-A92A-FA90DA07C69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6-4020-A92A-FA90DA07C69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6-4020-A92A-FA90DA07C69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6-4020-A92A-FA90DA07C69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6-4020-A92A-FA90DA07C69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F6-4020-A92A-FA90DA07C69F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94D732A-96A7-479F-818E-6F6E9F4E6579}" type="YVALUE">
                      <a:rPr lang="en-US" sz="1400"/>
                      <a:pPr>
                        <a:defRPr sz="1400"/>
                      </a:pPr>
                      <a:t>[Y VALUE]</a:t>
                    </a:fld>
                    <a:r>
                      <a:rPr lang="en-US" sz="1400"/>
                      <a:t> / Unfeasible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E8F6-4020-A92A-FA90DA07C6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Cuts'!$A$180:$A$189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Cuts'!$B$180:$B$189</c:f>
              <c:numCache>
                <c:formatCode>General</c:formatCode>
                <c:ptCount val="10"/>
                <c:pt idx="0">
                  <c:v>458.2</c:v>
                </c:pt>
                <c:pt idx="1">
                  <c:v>417</c:v>
                </c:pt>
                <c:pt idx="2">
                  <c:v>385</c:v>
                </c:pt>
                <c:pt idx="3">
                  <c:v>383</c:v>
                </c:pt>
                <c:pt idx="4">
                  <c:v>353</c:v>
                </c:pt>
                <c:pt idx="5">
                  <c:v>326</c:v>
                </c:pt>
                <c:pt idx="6">
                  <c:v>335</c:v>
                </c:pt>
                <c:pt idx="7">
                  <c:v>478</c:v>
                </c:pt>
                <c:pt idx="8">
                  <c:v>580</c:v>
                </c:pt>
                <c:pt idx="9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F6-4020-A92A-FA90DA07C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805887"/>
        <c:axId val="1116804927"/>
      </c:scatterChart>
      <c:valAx>
        <c:axId val="1116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Epislon Values (</a:t>
                </a:r>
                <a:r>
                  <a:rPr lang="en-US" sz="1800" baseline="0"/>
                  <a:t>Upper Bound = min(Partition size) - 1)</a:t>
                </a:r>
                <a:endParaRPr lang="en-US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4927"/>
        <c:crosses val="autoZero"/>
        <c:crossBetween val="midCat"/>
        <c:majorUnit val="280"/>
      </c:valAx>
      <c:valAx>
        <c:axId val="111680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Edge Cut Values</a:t>
                </a:r>
                <a:r>
                  <a:rPr lang="en-US" sz="1800" baseline="0"/>
                  <a:t> (lower is better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2.3086421548472562E-2"/>
              <c:y val="0.12653520590084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 CCM as Epislon Varies (4elt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Cuts'!$E$179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Cuts'!$D$180:$D$189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Cuts'!$E$180:$E$189</c:f>
              <c:numCache>
                <c:formatCode>0.00%</c:formatCode>
                <c:ptCount val="10"/>
                <c:pt idx="0">
                  <c:v>0</c:v>
                </c:pt>
                <c:pt idx="1">
                  <c:v>3.5883634499551398E-2</c:v>
                </c:pt>
                <c:pt idx="2">
                  <c:v>7.1767268999102907E-2</c:v>
                </c:pt>
                <c:pt idx="3">
                  <c:v>0.126105344098423</c:v>
                </c:pt>
                <c:pt idx="4">
                  <c:v>0.14353453799820501</c:v>
                </c:pt>
                <c:pt idx="5">
                  <c:v>0.23273100089709001</c:v>
                </c:pt>
                <c:pt idx="6">
                  <c:v>0.19774445726002801</c:v>
                </c:pt>
                <c:pt idx="7">
                  <c:v>0.25118544149686001</c:v>
                </c:pt>
                <c:pt idx="8">
                  <c:v>0.35678585159553999</c:v>
                </c:pt>
                <c:pt idx="9">
                  <c:v>0.35678585159553999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AF-420F-A7C3-FAE8A0117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37791"/>
        <c:axId val="120643551"/>
      </c:scatterChart>
      <c:valAx>
        <c:axId val="120637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43551"/>
        <c:crosses val="autoZero"/>
        <c:crossBetween val="midCat"/>
        <c:majorUnit val="280"/>
      </c:valAx>
      <c:valAx>
        <c:axId val="12064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37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Edge Cut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sizes'!$M$3:$M$5</c:f>
              <c:numCache>
                <c:formatCode>General</c:formatCode>
                <c:ptCount val="3"/>
                <c:pt idx="0">
                  <c:v>1435</c:v>
                </c:pt>
                <c:pt idx="1">
                  <c:v>755.4</c:v>
                </c:pt>
                <c:pt idx="2">
                  <c:v>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0-431C-8B5E-FA264455E334}"/>
            </c:ext>
          </c:extLst>
        </c:ser>
        <c:ser>
          <c:idx val="1"/>
          <c:order val="1"/>
          <c:tx>
            <c:strRef>
              <c:f>'Graph sizes'!$N$2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sizes'!$N$3:$N$5</c:f>
              <c:numCache>
                <c:formatCode>General</c:formatCode>
                <c:ptCount val="3"/>
                <c:pt idx="0">
                  <c:v>1332.2</c:v>
                </c:pt>
                <c:pt idx="1">
                  <c:v>907.6</c:v>
                </c:pt>
                <c:pt idx="2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20-431C-8B5E-FA264455E334}"/>
            </c:ext>
          </c:extLst>
        </c:ser>
        <c:ser>
          <c:idx val="2"/>
          <c:order val="2"/>
          <c:tx>
            <c:strRef>
              <c:f>'Graph sizes'!$O$2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sizes'!$O$3:$O$5</c:f>
              <c:numCache>
                <c:formatCode>General</c:formatCode>
                <c:ptCount val="3"/>
                <c:pt idx="0">
                  <c:v>1258.4000000000001</c:v>
                </c:pt>
                <c:pt idx="1">
                  <c:v>825.4</c:v>
                </c:pt>
                <c:pt idx="2">
                  <c:v>458.2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20-431C-8B5E-FA264455E334}"/>
            </c:ext>
          </c:extLst>
        </c:ser>
        <c:ser>
          <c:idx val="3"/>
          <c:order val="3"/>
          <c:tx>
            <c:strRef>
              <c:f>'Graph sizes'!$P$2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sizes'!$P$3:$P$5</c:f>
              <c:numCache>
                <c:formatCode>General</c:formatCode>
                <c:ptCount val="3"/>
                <c:pt idx="0">
                  <c:v>1251</c:v>
                </c:pt>
                <c:pt idx="1">
                  <c:v>759.4</c:v>
                </c:pt>
                <c:pt idx="2">
                  <c:v>388.6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20-431C-8B5E-FA264455E3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43241119"/>
        <c:axId val="2143262719"/>
      </c:barChart>
      <c:catAx>
        <c:axId val="214324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62719"/>
        <c:crosses val="autoZero"/>
        <c:auto val="1"/>
        <c:lblAlgn val="ctr"/>
        <c:lblOffset val="100"/>
        <c:noMultiLvlLbl val="0"/>
      </c:catAx>
      <c:valAx>
        <c:axId val="214326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4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sizes'!$M$10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sizes'!$M$11:$M$13</c:f>
              <c:numCache>
                <c:formatCode>General</c:formatCode>
                <c:ptCount val="3"/>
                <c:pt idx="0" formatCode="0.000">
                  <c:v>0.63960000000000006</c:v>
                </c:pt>
                <c:pt idx="1">
                  <c:v>1.5190000000000001</c:v>
                </c:pt>
                <c:pt idx="2" formatCode="0.000">
                  <c:v>2.0864000000000003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64-413B-B14B-11C93F77F814}"/>
            </c:ext>
          </c:extLst>
        </c:ser>
        <c:ser>
          <c:idx val="1"/>
          <c:order val="1"/>
          <c:tx>
            <c:strRef>
              <c:f>'Graph sizes'!$N$10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sizes'!$N$11:$N$13</c:f>
              <c:numCache>
                <c:formatCode>0.000</c:formatCode>
                <c:ptCount val="3"/>
                <c:pt idx="0">
                  <c:v>0.80920000000000003</c:v>
                </c:pt>
                <c:pt idx="1">
                  <c:v>1.4872000000000001</c:v>
                </c:pt>
                <c:pt idx="2">
                  <c:v>1.0564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64-413B-B14B-11C93F77F814}"/>
            </c:ext>
          </c:extLst>
        </c:ser>
        <c:ser>
          <c:idx val="2"/>
          <c:order val="2"/>
          <c:tx>
            <c:strRef>
              <c:f>'Graph sizes'!$O$10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sizes'!$O$11:$O$13</c:f>
              <c:numCache>
                <c:formatCode>0.000</c:formatCode>
                <c:ptCount val="3"/>
                <c:pt idx="0">
                  <c:v>0.85180000000000011</c:v>
                </c:pt>
                <c:pt idx="1">
                  <c:v>2.4645999999999999</c:v>
                </c:pt>
                <c:pt idx="2">
                  <c:v>3.0064000000000002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64-413B-B14B-11C93F77F814}"/>
            </c:ext>
          </c:extLst>
        </c:ser>
        <c:ser>
          <c:idx val="3"/>
          <c:order val="3"/>
          <c:tx>
            <c:strRef>
              <c:f>'Graph sizes'!$P$10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sizes'!$P$11:$P$13</c:f>
              <c:numCache>
                <c:formatCode>0.000</c:formatCode>
                <c:ptCount val="3"/>
                <c:pt idx="0">
                  <c:v>0.8256</c:v>
                </c:pt>
                <c:pt idx="1">
                  <c:v>2.3527999999999998</c:v>
                </c:pt>
                <c:pt idx="2">
                  <c:v>3.2231999999999998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64-413B-B14B-11C93F77F8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43280959"/>
        <c:axId val="2143297279"/>
      </c:barChart>
      <c:catAx>
        <c:axId val="214328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97279"/>
        <c:crosses val="autoZero"/>
        <c:auto val="1"/>
        <c:lblAlgn val="ctr"/>
        <c:lblOffset val="100"/>
        <c:noMultiLvlLbl val="0"/>
      </c:catAx>
      <c:valAx>
        <c:axId val="214329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sizes'!$M$21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sizes'!$M$22:$M$24</c:f>
              <c:numCache>
                <c:formatCode>0%</c:formatCode>
                <c:ptCount val="3"/>
                <c:pt idx="0">
                  <c:v>0.26044</c:v>
                </c:pt>
                <c:pt idx="1">
                  <c:v>0.26247999999999999</c:v>
                </c:pt>
                <c:pt idx="2">
                  <c:v>0.25760000000000005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A-4D28-A91A-9A339BE5420C}"/>
            </c:ext>
          </c:extLst>
        </c:ser>
        <c:ser>
          <c:idx val="1"/>
          <c:order val="1"/>
          <c:tx>
            <c:strRef>
              <c:f>'Graph sizes'!$N$21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sizes'!$N$22:$N$24</c:f>
              <c:numCache>
                <c:formatCode>0%</c:formatCode>
                <c:ptCount val="3"/>
                <c:pt idx="0">
                  <c:v>0.26141999999999999</c:v>
                </c:pt>
                <c:pt idx="1">
                  <c:v>0.27643999999999996</c:v>
                </c:pt>
                <c:pt idx="2">
                  <c:v>0.25599999999999995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DA-4D28-A91A-9A339BE5420C}"/>
            </c:ext>
          </c:extLst>
        </c:ser>
        <c:ser>
          <c:idx val="2"/>
          <c:order val="2"/>
          <c:tx>
            <c:strRef>
              <c:f>'Graph sizes'!$O$21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sizes'!$O$22:$O$24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A-4D28-A91A-9A339BE5420C}"/>
            </c:ext>
          </c:extLst>
        </c:ser>
        <c:ser>
          <c:idx val="3"/>
          <c:order val="3"/>
          <c:tx>
            <c:strRef>
              <c:f>'Graph sizes'!$P$21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sizes'!$P$22:$P$24</c:f>
              <c:numCache>
                <c:formatCode>0%</c:formatCode>
                <c:ptCount val="3"/>
                <c:pt idx="0">
                  <c:v>9.5014000000000001E-2</c:v>
                </c:pt>
                <c:pt idx="1">
                  <c:v>4.4740000000000002E-2</c:v>
                </c:pt>
                <c:pt idx="2">
                  <c:v>7.8972000000000001E-2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DA-4D28-A91A-9A339BE542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13123663"/>
        <c:axId val="1413112143"/>
      </c:barChart>
      <c:catAx>
        <c:axId val="141312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12143"/>
        <c:crosses val="autoZero"/>
        <c:auto val="1"/>
        <c:lblAlgn val="ctr"/>
        <c:lblOffset val="100"/>
        <c:noMultiLvlLbl val="0"/>
      </c:catAx>
      <c:valAx>
        <c:axId val="141311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2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Runtimes!$F$52:$F$55</c:f>
              <c:numCache>
                <c:formatCode>General</c:formatCode>
                <c:ptCount val="4"/>
                <c:pt idx="0">
                  <c:v>2.0771999999999999</c:v>
                </c:pt>
                <c:pt idx="1">
                  <c:v>2.3489999999999998</c:v>
                </c:pt>
                <c:pt idx="2">
                  <c:v>2.2884000000000002</c:v>
                </c:pt>
                <c:pt idx="3">
                  <c:v>2.1574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06A-422C-BD17-093EF8AEDF6F}"/>
            </c:ext>
          </c:extLst>
        </c:ser>
        <c:ser>
          <c:idx val="5"/>
          <c:order val="5"/>
          <c:tx>
            <c:strRef>
              <c:f>Runtimes!$G$51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Runtimes!$G$52:$G$55</c:f>
              <c:numCache>
                <c:formatCode>General</c:formatCode>
                <c:ptCount val="4"/>
                <c:pt idx="0">
                  <c:v>1.0442</c:v>
                </c:pt>
                <c:pt idx="1">
                  <c:v>1.0442</c:v>
                </c:pt>
                <c:pt idx="2">
                  <c:v>1.0442</c:v>
                </c:pt>
                <c:pt idx="3">
                  <c:v>1.0442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06A-422C-BD17-093EF8AEDF6F}"/>
            </c:ext>
          </c:extLst>
        </c:ser>
        <c:ser>
          <c:idx val="6"/>
          <c:order val="6"/>
          <c:tx>
            <c:strRef>
              <c:f>Runtimes!$H$51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Runtimes!$H$52:$H$55</c:f>
              <c:numCache>
                <c:formatCode>General</c:formatCode>
                <c:ptCount val="4"/>
                <c:pt idx="0">
                  <c:v>3.7113999999999998</c:v>
                </c:pt>
                <c:pt idx="1">
                  <c:v>3.5178000000000003</c:v>
                </c:pt>
                <c:pt idx="2">
                  <c:v>3.5604</c:v>
                </c:pt>
                <c:pt idx="3">
                  <c:v>3.2231999999999998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4B-4BFB-856A-DE7FB1B038CC}"/>
            </c:ext>
          </c:extLst>
        </c:ser>
        <c:ser>
          <c:idx val="7"/>
          <c:order val="7"/>
          <c:tx>
            <c:strRef>
              <c:f>Runtimes!$I$51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Runtimes!$I$52:$I$55</c:f>
              <c:numCache>
                <c:formatCode>General</c:formatCode>
                <c:ptCount val="4"/>
                <c:pt idx="0">
                  <c:v>2.2378</c:v>
                </c:pt>
                <c:pt idx="1">
                  <c:v>2.1887999999999996</c:v>
                </c:pt>
                <c:pt idx="2">
                  <c:v>2.1995999999999998</c:v>
                </c:pt>
                <c:pt idx="3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4B-4BFB-856A-DE7FB1B0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7391"/>
        <c:axId val="67862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Runtimes!$B$52:$B$55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91.754599999999996</c:v>
                      </c:pt>
                      <c:pt idx="1">
                        <c:v>132.321</c:v>
                      </c:pt>
                      <c:pt idx="2">
                        <c:v>73.751800000000003</c:v>
                      </c:pt>
                      <c:pt idx="3">
                        <c:v>49.319600000000001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06A-422C-BD17-093EF8AEDF6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Runtimes!$C$52:$C$55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84.063200000000009</c:v>
                      </c:pt>
                      <c:pt idx="1">
                        <c:v>150.34780000000001</c:v>
                      </c:pt>
                      <c:pt idx="2">
                        <c:v>73.754800000000003</c:v>
                      </c:pt>
                      <c:pt idx="3">
                        <c:v>48.282200000000003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06A-422C-BD17-093EF8AEDF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Runtimes!$D$52:$D$55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3.1605999999999996</c:v>
                      </c:pt>
                      <c:pt idx="1">
                        <c:v>3.1295999999999999</c:v>
                      </c:pt>
                      <c:pt idx="2">
                        <c:v>5.15</c:v>
                      </c:pt>
                      <c:pt idx="3">
                        <c:v>4.3275999999999994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06A-422C-BD17-093EF8AEDF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Runtimes!$E$52:$E$55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2.1703999999999999</c:v>
                      </c:pt>
                      <c:pt idx="1">
                        <c:v>1.7662</c:v>
                      </c:pt>
                      <c:pt idx="2">
                        <c:v>1.6038000000000001</c:v>
                      </c:pt>
                      <c:pt idx="3">
                        <c:v>1.3905999999999998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06A-422C-BD17-093EF8AEDF6F}"/>
                  </c:ext>
                </c:extLst>
              </c15:ser>
            </c15:filteredScatterSeries>
          </c:ext>
        </c:extLst>
      </c:scatterChart>
      <c:valAx>
        <c:axId val="67862739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4511"/>
        <c:crosses val="autoZero"/>
        <c:crossBetween val="midCat"/>
      </c:valAx>
      <c:valAx>
        <c:axId val="67862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7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eorgia" panose="02040502050405020303" pitchFamily="18" charset="0"/>
                <a:cs typeface="Arial" panose="020B0604020202020204" pitchFamily="34" charset="0"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0.26151999999999997</c:v>
                </c:pt>
                <c:pt idx="1">
                  <c:v>0.25800000000000001</c:v>
                </c:pt>
                <c:pt idx="2">
                  <c:v>0.71839999999999993</c:v>
                </c:pt>
                <c:pt idx="3">
                  <c:v>0.25840000000000007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BB-4DC0-84D5-1CE4BB63B8FB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0.25119999999999998</c:v>
                </c:pt>
                <c:pt idx="1">
                  <c:v>0.25119999999999998</c:v>
                </c:pt>
                <c:pt idx="2">
                  <c:v>0.25119999999999998</c:v>
                </c:pt>
                <c:pt idx="3">
                  <c:v>0.25119999999999998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BB-4DC0-84D5-1CE4BB63B8FB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F4-45D1-98BD-DEC1801C50C9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3.1047999999999999E-2</c:v>
                </c:pt>
                <c:pt idx="1">
                  <c:v>2.5537999999999998E-2</c:v>
                </c:pt>
                <c:pt idx="2">
                  <c:v>2.3396E-2</c:v>
                </c:pt>
                <c:pt idx="3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F4-45D1-98BD-DEC1801C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59951"/>
        <c:axId val="403075327"/>
      </c:scatterChart>
      <c:valAx>
        <c:axId val="6782599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75327"/>
        <c:crosses val="autoZero"/>
        <c:crossBetween val="midCat"/>
      </c:valAx>
      <c:valAx>
        <c:axId val="40307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5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0.27386260000000001</c:v>
                </c:pt>
                <c:pt idx="1">
                  <c:v>0.27386260000000001</c:v>
                </c:pt>
                <c:pt idx="2">
                  <c:v>0.27386260000000001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6D-4F43-9324-2B7C206C6FC7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0.28851199999999999</c:v>
                </c:pt>
                <c:pt idx="1">
                  <c:v>0.28378200000000003</c:v>
                </c:pt>
                <c:pt idx="2">
                  <c:v>0.28195599999999998</c:v>
                </c:pt>
                <c:pt idx="3">
                  <c:v>0.28167799999999998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6D-4F43-9324-2B7C206C6FC7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4-4C26-AFA5-78E9D1959E9B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2.9996248000000003E-2</c:v>
                </c:pt>
                <c:pt idx="1">
                  <c:v>2.5120839999999998E-2</c:v>
                </c:pt>
                <c:pt idx="2">
                  <c:v>2.5120839999999998E-2</c:v>
                </c:pt>
                <c:pt idx="3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C4-4C26-AFA5-78E9D195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3551"/>
        <c:axId val="678618751"/>
      </c:scatterChart>
      <c:valAx>
        <c:axId val="6786235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18751"/>
        <c:crosses val="autoZero"/>
        <c:crossBetween val="midCat"/>
      </c:valAx>
      <c:valAx>
        <c:axId val="67861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Precentage of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3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B12-4B49-98B0-B69F313BC51B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12-4B49-98B0-B69F313BC51B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195.4</c:v>
                </c:pt>
                <c:pt idx="1">
                  <c:v>109.6</c:v>
                </c:pt>
                <c:pt idx="2">
                  <c:v>170</c:v>
                </c:pt>
                <c:pt idx="3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07-4137-977F-88C17DE9C23C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83.8</c:v>
                </c:pt>
                <c:pt idx="1">
                  <c:v>51.2</c:v>
                </c:pt>
                <c:pt idx="2">
                  <c:v>99.6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07-4137-977F-88C17DE9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68111"/>
        <c:axId val="678261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75.599999999999994</c:v>
                      </c:pt>
                      <c:pt idx="3">
                        <c:v>133.4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B12-4B49-98B0-B69F313BC51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2-4B49-98B0-B69F313BC5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130</c:v>
                      </c:pt>
                      <c:pt idx="1">
                        <c:v>189</c:v>
                      </c:pt>
                      <c:pt idx="2">
                        <c:v>107.4</c:v>
                      </c:pt>
                      <c:pt idx="3">
                        <c:v>131.19999999999999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12-4B49-98B0-B69F313BC5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139.4</c:v>
                      </c:pt>
                      <c:pt idx="1">
                        <c:v>126.2</c:v>
                      </c:pt>
                      <c:pt idx="2">
                        <c:v>128</c:v>
                      </c:pt>
                      <c:pt idx="3">
                        <c:v>97.2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B12-4B49-98B0-B69F313BC51B}"/>
                  </c:ext>
                </c:extLst>
              </c15:ser>
            </c15:filteredScatterSeries>
          </c:ext>
        </c:extLst>
      </c:scatterChart>
      <c:valAx>
        <c:axId val="67826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1871"/>
        <c:crosses val="autoZero"/>
        <c:crossBetween val="midCat"/>
      </c:valAx>
      <c:valAx>
        <c:axId val="67826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797859</xdr:colOff>
      <xdr:row>69</xdr:row>
      <xdr:rowOff>131390</xdr:rowOff>
    </xdr:from>
    <xdr:to>
      <xdr:col>6</xdr:col>
      <xdr:colOff>593911</xdr:colOff>
      <xdr:row>92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FF5F3-5C2B-3880-4714-AF80AF8F2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453837</xdr:colOff>
      <xdr:row>70</xdr:row>
      <xdr:rowOff>124385</xdr:rowOff>
    </xdr:from>
    <xdr:to>
      <xdr:col>16</xdr:col>
      <xdr:colOff>11205</xdr:colOff>
      <xdr:row>93</xdr:row>
      <xdr:rowOff>134471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07476-E39E-AA82-4EB0-17F5D2E8E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851646</xdr:colOff>
      <xdr:row>136</xdr:row>
      <xdr:rowOff>123265</xdr:rowOff>
    </xdr:from>
    <xdr:to>
      <xdr:col>17</xdr:col>
      <xdr:colOff>529656</xdr:colOff>
      <xdr:row>158</xdr:row>
      <xdr:rowOff>170360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529261-0C77-5CF1-639C-599BFD08C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92970" y="27174265"/>
          <a:ext cx="7533333" cy="4238095"/>
        </a:xfrm>
        <a:prstGeom prst="rect">
          <a:avLst/>
        </a:prstGeom>
      </xdr:spPr>
    </xdr:pic>
    <xdr:clientData/>
  </xdr:twoCellAnchor>
  <xdr:twoCellAnchor>
    <xdr:from>
      <xdr:col>1</xdr:col>
      <xdr:colOff>890867</xdr:colOff>
      <xdr:row>133</xdr:row>
      <xdr:rowOff>57150</xdr:rowOff>
    </xdr:from>
    <xdr:to>
      <xdr:col>5</xdr:col>
      <xdr:colOff>381000</xdr:colOff>
      <xdr:row>155</xdr:row>
      <xdr:rowOff>123265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C740BB-49F1-305D-1839-09B613002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192</xdr:row>
      <xdr:rowOff>57947</xdr:rowOff>
    </xdr:from>
    <xdr:to>
      <xdr:col>4</xdr:col>
      <xdr:colOff>1038145</xdr:colOff>
      <xdr:row>214</xdr:row>
      <xdr:rowOff>136070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FE4AE-8197-41F0-8BF8-A3CD90239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2218763</xdr:colOff>
      <xdr:row>192</xdr:row>
      <xdr:rowOff>98770</xdr:rowOff>
    </xdr:from>
    <xdr:to>
      <xdr:col>14</xdr:col>
      <xdr:colOff>54429</xdr:colOff>
      <xdr:row>214</xdr:row>
      <xdr:rowOff>176893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766633-9060-CE32-ED2A-087C09278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136992</xdr:colOff>
      <xdr:row>1</xdr:row>
      <xdr:rowOff>76479</xdr:rowOff>
    </xdr:from>
    <xdr:to>
      <xdr:col>31</xdr:col>
      <xdr:colOff>280147</xdr:colOff>
      <xdr:row>24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F5BDCD-5E4B-6C5C-4F26-ED76A41B0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128868</xdr:colOff>
      <xdr:row>26</xdr:row>
      <xdr:rowOff>135590</xdr:rowOff>
    </xdr:from>
    <xdr:to>
      <xdr:col>31</xdr:col>
      <xdr:colOff>257736</xdr:colOff>
      <xdr:row>49</xdr:row>
      <xdr:rowOff>156882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112981-41C5-24B9-8AF0-79A993623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431426</xdr:colOff>
      <xdr:row>26</xdr:row>
      <xdr:rowOff>135591</xdr:rowOff>
    </xdr:from>
    <xdr:to>
      <xdr:col>19</xdr:col>
      <xdr:colOff>571500</xdr:colOff>
      <xdr:row>49</xdr:row>
      <xdr:rowOff>156883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A0A8ED-56D5-ABAA-FAD9-77CE0EC01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364191</xdr:colOff>
      <xdr:row>55</xdr:row>
      <xdr:rowOff>70874</xdr:rowOff>
    </xdr:from>
    <xdr:to>
      <xdr:col>7</xdr:col>
      <xdr:colOff>1288676</xdr:colOff>
      <xdr:row>78</xdr:row>
      <xdr:rowOff>89647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521E91-64DC-507C-5C7B-69A3ADA1A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258535</xdr:colOff>
      <xdr:row>92</xdr:row>
      <xdr:rowOff>76879</xdr:rowOff>
    </xdr:from>
    <xdr:to>
      <xdr:col>21</xdr:col>
      <xdr:colOff>353785</xdr:colOff>
      <xdr:row>115</xdr:row>
      <xdr:rowOff>81643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592EAC-B179-D691-8FB0-52B9BC9F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1683202</xdr:colOff>
      <xdr:row>104</xdr:row>
      <xdr:rowOff>6121</xdr:rowOff>
    </xdr:from>
    <xdr:to>
      <xdr:col>9</xdr:col>
      <xdr:colOff>136071</xdr:colOff>
      <xdr:row>127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211CDC-EF14-8806-4272-B8F3CB15B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1412420</xdr:colOff>
      <xdr:row>67</xdr:row>
      <xdr:rowOff>129947</xdr:rowOff>
    </xdr:from>
    <xdr:to>
      <xdr:col>9</xdr:col>
      <xdr:colOff>408213</xdr:colOff>
      <xdr:row>90</xdr:row>
      <xdr:rowOff>136071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B1DD1-CD4A-A96A-3B90-B1CC45B99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9"/>
  <sheetViews>
    <sheetView topLeftCell="A179" zoomScale="70" zoomScaleNormal="70" workbookViewId="0">
      <selection activeCell="U205" sqref="U205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D1" s="9" t="s">
        <v>26</v>
      </c>
    </row>
    <row r="2" spans="1:9" x14ac:dyDescent="0.25">
      <c r="A2" s="31" t="s">
        <v>19</v>
      </c>
      <c r="B2" s="31"/>
      <c r="C2" s="31"/>
      <c r="D2" s="31"/>
      <c r="E2" s="31"/>
      <c r="F2" s="31"/>
      <c r="G2" s="31"/>
    </row>
    <row r="3" spans="1:9" x14ac:dyDescent="0.25">
      <c r="A3" s="30" t="s">
        <v>5</v>
      </c>
      <c r="B3" s="30"/>
      <c r="C3" s="30"/>
      <c r="D3" s="30"/>
      <c r="E3" s="30"/>
      <c r="F3" s="30"/>
      <c r="G3" s="30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1482</v>
      </c>
      <c r="C5">
        <v>1730</v>
      </c>
      <c r="D5">
        <v>2988</v>
      </c>
      <c r="E5">
        <v>4138</v>
      </c>
      <c r="F5">
        <v>386</v>
      </c>
      <c r="G5">
        <v>350</v>
      </c>
      <c r="H5">
        <v>2390</v>
      </c>
      <c r="I5">
        <v>1297</v>
      </c>
    </row>
    <row r="6" spans="1:9" x14ac:dyDescent="0.25">
      <c r="A6" s="1" t="s">
        <v>11</v>
      </c>
      <c r="B6">
        <v>1101</v>
      </c>
      <c r="C6">
        <v>1369</v>
      </c>
      <c r="D6">
        <v>2728</v>
      </c>
      <c r="E6">
        <v>2758</v>
      </c>
      <c r="F6">
        <v>411</v>
      </c>
      <c r="G6">
        <v>341</v>
      </c>
      <c r="H6">
        <v>2720</v>
      </c>
      <c r="I6">
        <v>863</v>
      </c>
    </row>
    <row r="7" spans="1:9" x14ac:dyDescent="0.25">
      <c r="A7" s="1" t="s">
        <v>12</v>
      </c>
      <c r="B7">
        <v>1885</v>
      </c>
      <c r="C7">
        <v>1373</v>
      </c>
      <c r="D7">
        <v>3101</v>
      </c>
      <c r="E7">
        <v>3633</v>
      </c>
      <c r="F7">
        <v>418</v>
      </c>
      <c r="G7">
        <v>342</v>
      </c>
      <c r="H7">
        <v>4700</v>
      </c>
      <c r="I7">
        <v>1929</v>
      </c>
    </row>
    <row r="8" spans="1:9" x14ac:dyDescent="0.25">
      <c r="A8" s="1" t="s">
        <v>13</v>
      </c>
      <c r="B8">
        <v>1075</v>
      </c>
      <c r="C8">
        <v>1203</v>
      </c>
      <c r="D8">
        <v>2271</v>
      </c>
      <c r="E8">
        <v>3242</v>
      </c>
      <c r="F8">
        <v>392</v>
      </c>
      <c r="G8">
        <v>342</v>
      </c>
      <c r="H8">
        <v>3149</v>
      </c>
      <c r="I8">
        <v>1053</v>
      </c>
    </row>
    <row r="9" spans="1:9" x14ac:dyDescent="0.25">
      <c r="A9" s="1" t="s">
        <v>14</v>
      </c>
      <c r="B9">
        <v>1745</v>
      </c>
      <c r="C9">
        <v>1397</v>
      </c>
      <c r="D9">
        <v>3626</v>
      </c>
      <c r="E9">
        <v>2739</v>
      </c>
      <c r="F9">
        <v>389</v>
      </c>
      <c r="G9">
        <v>341</v>
      </c>
      <c r="H9">
        <v>3442</v>
      </c>
      <c r="I9">
        <v>1828</v>
      </c>
    </row>
    <row r="14" spans="1:9" x14ac:dyDescent="0.25">
      <c r="C14" t="s">
        <v>4</v>
      </c>
    </row>
    <row r="15" spans="1:9" x14ac:dyDescent="0.25">
      <c r="A15" s="31" t="s">
        <v>20</v>
      </c>
      <c r="B15" s="31"/>
      <c r="C15" s="31"/>
      <c r="D15" s="31"/>
      <c r="E15" s="31"/>
      <c r="F15" s="31"/>
      <c r="G15" s="31"/>
    </row>
    <row r="16" spans="1:9" x14ac:dyDescent="0.25">
      <c r="A16" s="32" t="s">
        <v>5</v>
      </c>
      <c r="B16" s="32"/>
      <c r="C16" s="32"/>
      <c r="D16" s="32"/>
      <c r="E16" s="32"/>
      <c r="F16" s="32"/>
      <c r="G16" s="32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1319</v>
      </c>
      <c r="C18">
        <v>1848</v>
      </c>
      <c r="D18">
        <v>3531</v>
      </c>
      <c r="E18">
        <v>3012</v>
      </c>
      <c r="F18">
        <v>418</v>
      </c>
      <c r="G18">
        <v>350</v>
      </c>
      <c r="H18">
        <v>438</v>
      </c>
      <c r="I18">
        <v>1228</v>
      </c>
    </row>
    <row r="19" spans="1:9" x14ac:dyDescent="0.25">
      <c r="A19" s="1" t="s">
        <v>11</v>
      </c>
      <c r="B19">
        <v>1763</v>
      </c>
      <c r="C19">
        <v>1167</v>
      </c>
      <c r="D19">
        <v>3307</v>
      </c>
      <c r="E19">
        <v>4188</v>
      </c>
      <c r="F19">
        <v>402</v>
      </c>
      <c r="G19">
        <v>341</v>
      </c>
      <c r="H19">
        <v>1448</v>
      </c>
      <c r="I19">
        <v>1593</v>
      </c>
    </row>
    <row r="20" spans="1:9" x14ac:dyDescent="0.25">
      <c r="A20" s="1" t="s">
        <v>12</v>
      </c>
      <c r="B20">
        <v>1196</v>
      </c>
      <c r="C20">
        <v>1046</v>
      </c>
      <c r="D20">
        <v>3425</v>
      </c>
      <c r="E20">
        <v>2973</v>
      </c>
      <c r="F20">
        <v>393</v>
      </c>
      <c r="G20">
        <v>342</v>
      </c>
      <c r="H20">
        <v>2493</v>
      </c>
      <c r="I20">
        <v>1022</v>
      </c>
    </row>
    <row r="21" spans="1:9" x14ac:dyDescent="0.25">
      <c r="A21" s="1" t="s">
        <v>13</v>
      </c>
      <c r="B21">
        <v>1462</v>
      </c>
      <c r="C21">
        <v>1276</v>
      </c>
      <c r="D21">
        <v>3161</v>
      </c>
      <c r="E21">
        <v>2379</v>
      </c>
      <c r="F21">
        <v>381</v>
      </c>
      <c r="G21">
        <v>342</v>
      </c>
      <c r="H21">
        <v>2561</v>
      </c>
      <c r="I21">
        <v>719</v>
      </c>
    </row>
    <row r="22" spans="1:9" x14ac:dyDescent="0.25">
      <c r="A22" s="1" t="s">
        <v>14</v>
      </c>
      <c r="B22">
        <v>1667</v>
      </c>
      <c r="C22">
        <v>1922</v>
      </c>
      <c r="D22">
        <v>4629</v>
      </c>
      <c r="E22">
        <v>2605</v>
      </c>
      <c r="F22">
        <v>352</v>
      </c>
      <c r="G22">
        <v>341</v>
      </c>
      <c r="H22">
        <v>2240</v>
      </c>
      <c r="I22">
        <v>1455</v>
      </c>
    </row>
    <row r="27" spans="1:9" x14ac:dyDescent="0.25">
      <c r="C27" t="s">
        <v>4</v>
      </c>
    </row>
    <row r="28" spans="1:9" x14ac:dyDescent="0.25">
      <c r="A28" s="31" t="s">
        <v>21</v>
      </c>
      <c r="B28" s="31"/>
      <c r="C28" s="31"/>
      <c r="D28" s="31"/>
      <c r="E28" s="31"/>
      <c r="F28" s="31"/>
      <c r="G28" s="31"/>
    </row>
    <row r="29" spans="1:9" x14ac:dyDescent="0.25">
      <c r="A29" s="30" t="s">
        <v>5</v>
      </c>
      <c r="B29" s="30"/>
      <c r="C29" s="30"/>
      <c r="D29" s="30"/>
      <c r="E29" s="30"/>
      <c r="F29" s="30"/>
      <c r="G29" s="30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3606</v>
      </c>
      <c r="C31">
        <v>1167</v>
      </c>
      <c r="D31">
        <v>3112</v>
      </c>
      <c r="E31">
        <v>2536</v>
      </c>
      <c r="F31">
        <v>372</v>
      </c>
      <c r="G31">
        <v>350</v>
      </c>
      <c r="H31">
        <v>2501</v>
      </c>
      <c r="I31">
        <v>1345</v>
      </c>
    </row>
    <row r="32" spans="1:9" x14ac:dyDescent="0.25">
      <c r="A32" s="1" t="s">
        <v>11</v>
      </c>
      <c r="B32">
        <v>2363</v>
      </c>
      <c r="C32">
        <v>1482</v>
      </c>
      <c r="D32">
        <v>3514</v>
      </c>
      <c r="E32">
        <v>3278</v>
      </c>
      <c r="F32">
        <v>382</v>
      </c>
      <c r="G32">
        <v>341</v>
      </c>
      <c r="H32">
        <v>1101</v>
      </c>
      <c r="I32">
        <v>2448</v>
      </c>
    </row>
    <row r="33" spans="1:9" x14ac:dyDescent="0.25">
      <c r="A33" s="1" t="s">
        <v>12</v>
      </c>
      <c r="B33">
        <v>1718</v>
      </c>
      <c r="C33">
        <v>1299</v>
      </c>
      <c r="D33">
        <v>3118</v>
      </c>
      <c r="E33">
        <v>2841</v>
      </c>
      <c r="F33">
        <v>364</v>
      </c>
      <c r="G33">
        <v>342</v>
      </c>
      <c r="H33">
        <v>1945</v>
      </c>
      <c r="I33">
        <v>1878</v>
      </c>
    </row>
    <row r="34" spans="1:9" x14ac:dyDescent="0.25">
      <c r="A34" s="1" t="s">
        <v>13</v>
      </c>
      <c r="B34">
        <v>2163</v>
      </c>
      <c r="C34">
        <v>1352</v>
      </c>
      <c r="D34">
        <v>2757</v>
      </c>
      <c r="E34">
        <v>3269</v>
      </c>
      <c r="F34">
        <v>428</v>
      </c>
      <c r="G34">
        <v>342</v>
      </c>
      <c r="H34">
        <v>3302</v>
      </c>
      <c r="I34">
        <v>1022</v>
      </c>
    </row>
    <row r="35" spans="1:9" x14ac:dyDescent="0.25">
      <c r="A35" s="1" t="s">
        <v>14</v>
      </c>
      <c r="B35">
        <v>2714</v>
      </c>
      <c r="C35">
        <v>1353</v>
      </c>
      <c r="D35">
        <v>2656</v>
      </c>
      <c r="E35">
        <v>2909</v>
      </c>
      <c r="F35">
        <v>376</v>
      </c>
      <c r="G35">
        <v>341</v>
      </c>
      <c r="H35">
        <v>1549</v>
      </c>
      <c r="I35">
        <v>1431</v>
      </c>
    </row>
    <row r="40" spans="1:9" x14ac:dyDescent="0.25">
      <c r="C40" t="s">
        <v>4</v>
      </c>
    </row>
    <row r="41" spans="1:9" x14ac:dyDescent="0.25">
      <c r="A41" s="31" t="s">
        <v>22</v>
      </c>
      <c r="B41" s="31"/>
      <c r="C41" s="31"/>
      <c r="D41" s="31"/>
      <c r="E41" s="31"/>
      <c r="F41" s="31"/>
      <c r="G41" s="31"/>
    </row>
    <row r="42" spans="1:9" x14ac:dyDescent="0.25">
      <c r="A42" s="30" t="s">
        <v>5</v>
      </c>
      <c r="B42" s="30"/>
      <c r="C42" s="30"/>
      <c r="D42" s="30"/>
      <c r="E42" s="30"/>
      <c r="F42" s="30"/>
      <c r="G42" s="30"/>
    </row>
    <row r="43" spans="1:9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25</v>
      </c>
    </row>
    <row r="44" spans="1:9" x14ac:dyDescent="0.25">
      <c r="A44" s="1" t="s">
        <v>10</v>
      </c>
      <c r="B44">
        <v>3088</v>
      </c>
      <c r="C44">
        <v>1827</v>
      </c>
      <c r="D44">
        <v>3545</v>
      </c>
      <c r="E44">
        <v>2878</v>
      </c>
      <c r="F44">
        <v>408</v>
      </c>
      <c r="G44">
        <v>350</v>
      </c>
      <c r="H44">
        <v>381</v>
      </c>
      <c r="I44">
        <v>1710</v>
      </c>
    </row>
    <row r="45" spans="1:9" x14ac:dyDescent="0.25">
      <c r="A45" s="1" t="s">
        <v>11</v>
      </c>
      <c r="B45">
        <v>3547</v>
      </c>
      <c r="C45">
        <v>1494</v>
      </c>
      <c r="D45">
        <v>3292</v>
      </c>
      <c r="E45">
        <v>2686</v>
      </c>
      <c r="F45">
        <v>406</v>
      </c>
      <c r="G45">
        <v>341</v>
      </c>
      <c r="H45">
        <v>498</v>
      </c>
      <c r="I45">
        <v>1617</v>
      </c>
    </row>
    <row r="46" spans="1:9" x14ac:dyDescent="0.25">
      <c r="A46" s="1" t="s">
        <v>12</v>
      </c>
      <c r="B46">
        <v>2312</v>
      </c>
      <c r="C46">
        <v>1294</v>
      </c>
      <c r="D46">
        <v>3634</v>
      </c>
      <c r="E46">
        <v>2841</v>
      </c>
      <c r="F46">
        <v>405</v>
      </c>
      <c r="G46">
        <v>342</v>
      </c>
      <c r="H46">
        <v>423</v>
      </c>
      <c r="I46">
        <v>933</v>
      </c>
    </row>
    <row r="47" spans="1:9" x14ac:dyDescent="0.25">
      <c r="A47" s="1" t="s">
        <v>13</v>
      </c>
      <c r="B47">
        <v>3956</v>
      </c>
      <c r="C47">
        <v>1206</v>
      </c>
      <c r="D47">
        <v>3747</v>
      </c>
      <c r="E47">
        <v>2716</v>
      </c>
      <c r="F47">
        <v>384</v>
      </c>
      <c r="G47">
        <v>342</v>
      </c>
      <c r="H47">
        <v>495</v>
      </c>
      <c r="I47">
        <v>638</v>
      </c>
    </row>
    <row r="48" spans="1:9" x14ac:dyDescent="0.25">
      <c r="A48" s="1" t="s">
        <v>14</v>
      </c>
      <c r="B48">
        <v>3425</v>
      </c>
      <c r="C48">
        <v>1807</v>
      </c>
      <c r="D48">
        <v>2454</v>
      </c>
      <c r="E48">
        <v>3408</v>
      </c>
      <c r="F48">
        <v>343</v>
      </c>
      <c r="G48">
        <v>341</v>
      </c>
      <c r="H48">
        <v>494</v>
      </c>
      <c r="I48">
        <v>889</v>
      </c>
    </row>
    <row r="52" spans="1:11" x14ac:dyDescent="0.25">
      <c r="A52" s="36" t="s">
        <v>17</v>
      </c>
      <c r="B52" s="36"/>
      <c r="C52" s="36"/>
      <c r="D52" s="36"/>
      <c r="E52" s="36"/>
      <c r="F52" s="36"/>
      <c r="G52" s="36"/>
    </row>
    <row r="53" spans="1:11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28</v>
      </c>
      <c r="I53" s="11" t="s">
        <v>27</v>
      </c>
    </row>
    <row r="54" spans="1:11" x14ac:dyDescent="0.25">
      <c r="A54" s="7">
        <v>0.15</v>
      </c>
      <c r="B54">
        <f>AVERAGE(B5:B9)</f>
        <v>1457.6</v>
      </c>
      <c r="C54">
        <f t="shared" ref="C54:F54" si="0">AVERAGE(C5:C9)</f>
        <v>1414.4</v>
      </c>
      <c r="D54">
        <f t="shared" si="0"/>
        <v>2942.8</v>
      </c>
      <c r="E54">
        <f t="shared" si="0"/>
        <v>3302</v>
      </c>
      <c r="F54">
        <f t="shared" si="0"/>
        <v>399.2</v>
      </c>
      <c r="G54">
        <f>AVERAGE(G5:G9)</f>
        <v>343.2</v>
      </c>
      <c r="H54">
        <f>AVERAGE(H5:H9)</f>
        <v>3280.2</v>
      </c>
      <c r="I54">
        <f>AVERAGE(I5:I9)</f>
        <v>1394</v>
      </c>
    </row>
    <row r="55" spans="1:11" x14ac:dyDescent="0.25">
      <c r="A55" s="8">
        <v>0.35</v>
      </c>
      <c r="B55">
        <f>AVERAGE(B18:B22)</f>
        <v>1481.4</v>
      </c>
      <c r="C55">
        <f>AVERAGE(C18:C22)</f>
        <v>1451.8</v>
      </c>
      <c r="D55">
        <f t="shared" ref="D55:F55" si="1">AVERAGE(D18:D22)</f>
        <v>3610.6</v>
      </c>
      <c r="E55">
        <f t="shared" si="1"/>
        <v>3031.4</v>
      </c>
      <c r="F55">
        <f t="shared" si="1"/>
        <v>389.2</v>
      </c>
      <c r="G55">
        <f>AVERAGE(G18:G22)</f>
        <v>343.2</v>
      </c>
      <c r="H55">
        <f>AVERAGE(H18:H22)</f>
        <v>1836</v>
      </c>
      <c r="I55">
        <f>AVERAGE(I18:I22)</f>
        <v>1203.4000000000001</v>
      </c>
    </row>
    <row r="56" spans="1:11" x14ac:dyDescent="0.25">
      <c r="A56" s="8">
        <v>0.55000000000000004</v>
      </c>
      <c r="B56">
        <f>AVERAGE(B31:B35)</f>
        <v>2512.8000000000002</v>
      </c>
      <c r="C56">
        <f t="shared" ref="C56:F56" si="2">AVERAGE(C31:C35)</f>
        <v>1330.6</v>
      </c>
      <c r="D56">
        <f t="shared" si="2"/>
        <v>3031.4</v>
      </c>
      <c r="E56">
        <f t="shared" si="2"/>
        <v>2966.6</v>
      </c>
      <c r="F56">
        <f t="shared" si="2"/>
        <v>384.4</v>
      </c>
      <c r="G56">
        <f>AVERAGE(G31:G35)</f>
        <v>343.2</v>
      </c>
      <c r="H56">
        <f>AVERAGE(H31:H35)</f>
        <v>2079.6</v>
      </c>
      <c r="I56">
        <f>AVERAGE(I31:I35)</f>
        <v>1624.8</v>
      </c>
    </row>
    <row r="57" spans="1:11" x14ac:dyDescent="0.25">
      <c r="A57" s="8">
        <v>0.7</v>
      </c>
      <c r="B57">
        <f>AVERAGE(B44:B48)</f>
        <v>3265.6</v>
      </c>
      <c r="C57">
        <f t="shared" ref="C57:F57" si="3">AVERAGE(C44:C48)</f>
        <v>1525.6</v>
      </c>
      <c r="D57">
        <f t="shared" si="3"/>
        <v>3334.4</v>
      </c>
      <c r="E57">
        <f t="shared" si="3"/>
        <v>2905.8</v>
      </c>
      <c r="F57">
        <f t="shared" si="3"/>
        <v>389.2</v>
      </c>
      <c r="G57">
        <f>AVERAGE(G44:G48)</f>
        <v>343.2</v>
      </c>
      <c r="H57">
        <f>AVERAGE(H44:H48)</f>
        <v>458.2</v>
      </c>
      <c r="I57">
        <f>AVERAGE(I44:I48)</f>
        <v>1157.4000000000001</v>
      </c>
    </row>
    <row r="63" spans="1:11" x14ac:dyDescent="0.25">
      <c r="G63" s="3"/>
      <c r="H63" s="1" t="s">
        <v>1</v>
      </c>
      <c r="I63" s="1" t="s">
        <v>0</v>
      </c>
      <c r="J63" s="10" t="s">
        <v>28</v>
      </c>
      <c r="K63" s="11" t="s">
        <v>27</v>
      </c>
    </row>
    <row r="64" spans="1:11" x14ac:dyDescent="0.25">
      <c r="G64" s="7">
        <v>0.15</v>
      </c>
      <c r="H64" s="13">
        <f>(G54 - F54) / G54</f>
        <v>-0.16317016317016317</v>
      </c>
      <c r="I64" s="13">
        <f>(G54 - G54) / G54</f>
        <v>0</v>
      </c>
      <c r="J64" s="13">
        <f>(G54 - H54) / G54</f>
        <v>-8.5576923076923084</v>
      </c>
      <c r="K64" s="13">
        <f>(G54 - I54) / G54</f>
        <v>-3.061771561771562</v>
      </c>
    </row>
    <row r="65" spans="7:11" x14ac:dyDescent="0.25">
      <c r="G65" s="8">
        <v>0.35</v>
      </c>
      <c r="H65" s="13">
        <f t="shared" ref="H65:H67" si="4">(G55 - F55) / G55</f>
        <v>-0.13403263403263405</v>
      </c>
      <c r="I65" s="13">
        <f t="shared" ref="I65:I67" si="5">(G55 - G55) / G55</f>
        <v>0</v>
      </c>
      <c r="J65" s="13">
        <f t="shared" ref="J65:J67" si="6">(G55 - H55) / G55</f>
        <v>-4.34965034965035</v>
      </c>
      <c r="K65" s="13">
        <f t="shared" ref="K65:K67" si="7">(G55 - I55) / G55</f>
        <v>-2.5064102564102568</v>
      </c>
    </row>
    <row r="66" spans="7:11" x14ac:dyDescent="0.25">
      <c r="G66" s="8">
        <v>0.55000000000000004</v>
      </c>
      <c r="H66" s="13">
        <f t="shared" si="4"/>
        <v>-0.12004662004662002</v>
      </c>
      <c r="I66" s="13">
        <f t="shared" si="5"/>
        <v>0</v>
      </c>
      <c r="J66" s="13">
        <f t="shared" si="6"/>
        <v>-5.0594405594405591</v>
      </c>
      <c r="K66" s="13">
        <f t="shared" si="7"/>
        <v>-3.7342657342657342</v>
      </c>
    </row>
    <row r="67" spans="7:11" x14ac:dyDescent="0.25">
      <c r="G67" s="8">
        <v>0.7</v>
      </c>
      <c r="H67" s="13">
        <f t="shared" si="4"/>
        <v>-0.13403263403263405</v>
      </c>
      <c r="I67" s="13">
        <f t="shared" si="5"/>
        <v>0</v>
      </c>
      <c r="J67" s="13">
        <f t="shared" si="6"/>
        <v>-0.33508158508158509</v>
      </c>
      <c r="K67" s="13">
        <f t="shared" si="7"/>
        <v>-2.3723776223776225</v>
      </c>
    </row>
    <row r="123" spans="1:11" x14ac:dyDescent="0.25">
      <c r="A123" s="33" t="s">
        <v>29</v>
      </c>
      <c r="B123" s="33"/>
      <c r="C123" s="33"/>
      <c r="D123" s="33"/>
      <c r="E123" s="33"/>
      <c r="F123" s="33"/>
      <c r="G123" s="33"/>
      <c r="H123" s="14"/>
      <c r="I123" s="14"/>
      <c r="J123" s="14"/>
      <c r="K123" s="14"/>
    </row>
    <row r="124" spans="1:11" x14ac:dyDescent="0.25">
      <c r="A124" s="34" t="s">
        <v>5</v>
      </c>
      <c r="B124" s="34"/>
      <c r="C124" s="34"/>
      <c r="D124" s="34"/>
      <c r="E124" s="34"/>
      <c r="F124" s="34"/>
      <c r="G124" s="34"/>
      <c r="H124" s="14"/>
      <c r="I124" s="14"/>
      <c r="J124" s="14"/>
      <c r="K124" s="14"/>
    </row>
    <row r="125" spans="1:11" ht="30" x14ac:dyDescent="0.25">
      <c r="A125" s="15"/>
      <c r="B125" s="16" t="s">
        <v>6</v>
      </c>
      <c r="C125" s="17" t="s">
        <v>7</v>
      </c>
      <c r="D125" s="16" t="s">
        <v>8</v>
      </c>
      <c r="E125" s="17" t="s">
        <v>9</v>
      </c>
      <c r="F125" s="16" t="s">
        <v>1</v>
      </c>
      <c r="G125" s="16" t="s">
        <v>0</v>
      </c>
      <c r="H125" s="11" t="s">
        <v>46</v>
      </c>
      <c r="I125" s="11" t="s">
        <v>48</v>
      </c>
      <c r="J125" s="11" t="s">
        <v>49</v>
      </c>
      <c r="K125" s="11" t="s">
        <v>50</v>
      </c>
    </row>
    <row r="126" spans="1:11" x14ac:dyDescent="0.25">
      <c r="A126" s="18" t="s">
        <v>10</v>
      </c>
      <c r="B126" s="14">
        <v>3117</v>
      </c>
      <c r="C126" s="14">
        <v>1686</v>
      </c>
      <c r="D126" s="14">
        <v>2840</v>
      </c>
      <c r="E126" s="14">
        <v>2952</v>
      </c>
      <c r="F126" s="14">
        <v>357</v>
      </c>
      <c r="G126" s="14">
        <v>350</v>
      </c>
      <c r="H126" s="14">
        <v>381</v>
      </c>
      <c r="I126" s="14">
        <v>406</v>
      </c>
      <c r="J126" s="14">
        <v>381</v>
      </c>
      <c r="K126" s="14">
        <v>362</v>
      </c>
    </row>
    <row r="127" spans="1:11" x14ac:dyDescent="0.25">
      <c r="A127" s="18" t="s">
        <v>11</v>
      </c>
      <c r="B127" s="14">
        <v>2755</v>
      </c>
      <c r="C127" s="14">
        <v>1449</v>
      </c>
      <c r="D127" s="14">
        <v>3045</v>
      </c>
      <c r="E127" s="14">
        <v>2366</v>
      </c>
      <c r="F127" s="14">
        <v>394</v>
      </c>
      <c r="G127" s="14">
        <v>343</v>
      </c>
      <c r="H127" s="14">
        <v>498</v>
      </c>
      <c r="I127" s="14">
        <v>425</v>
      </c>
      <c r="J127" s="14">
        <v>366</v>
      </c>
      <c r="K127" s="14">
        <v>329</v>
      </c>
    </row>
    <row r="128" spans="1:11" x14ac:dyDescent="0.25">
      <c r="A128" s="18" t="s">
        <v>12</v>
      </c>
      <c r="B128" s="14">
        <v>3901</v>
      </c>
      <c r="C128" s="14">
        <v>1301</v>
      </c>
      <c r="D128" s="14">
        <v>2726</v>
      </c>
      <c r="E128" s="14">
        <v>2272</v>
      </c>
      <c r="F128" s="14">
        <v>419</v>
      </c>
      <c r="G128" s="14">
        <v>342</v>
      </c>
      <c r="H128" s="14">
        <v>423</v>
      </c>
      <c r="I128" s="14">
        <v>516</v>
      </c>
      <c r="J128" s="14">
        <v>435</v>
      </c>
      <c r="K128" s="14">
        <v>326</v>
      </c>
    </row>
    <row r="129" spans="1:11" x14ac:dyDescent="0.25">
      <c r="A129" s="18" t="s">
        <v>13</v>
      </c>
      <c r="B129" s="14">
        <v>2026</v>
      </c>
      <c r="C129" s="14">
        <v>1499</v>
      </c>
      <c r="D129" s="14">
        <v>2562</v>
      </c>
      <c r="E129" s="14">
        <v>3095</v>
      </c>
      <c r="F129" s="14">
        <v>375</v>
      </c>
      <c r="G129" s="14">
        <v>340</v>
      </c>
      <c r="H129" s="14">
        <v>495</v>
      </c>
      <c r="I129" s="14">
        <v>419</v>
      </c>
      <c r="J129" s="14">
        <v>408</v>
      </c>
      <c r="K129" s="14">
        <v>328</v>
      </c>
    </row>
    <row r="130" spans="1:11" x14ac:dyDescent="0.25">
      <c r="A130" s="18" t="s">
        <v>14</v>
      </c>
      <c r="B130" s="14">
        <v>967</v>
      </c>
      <c r="C130" s="14">
        <v>1641</v>
      </c>
      <c r="D130" s="14">
        <v>2970</v>
      </c>
      <c r="E130" s="14">
        <v>3007</v>
      </c>
      <c r="F130" s="14">
        <v>440</v>
      </c>
      <c r="G130" s="14">
        <v>351</v>
      </c>
      <c r="H130" s="14">
        <v>494</v>
      </c>
      <c r="I130" s="14">
        <v>431</v>
      </c>
      <c r="J130" s="14">
        <v>353</v>
      </c>
      <c r="K130" s="14">
        <v>377</v>
      </c>
    </row>
    <row r="160" spans="1:7" x14ac:dyDescent="0.25">
      <c r="A160" s="14"/>
      <c r="B160" s="10" t="s">
        <v>1</v>
      </c>
      <c r="C160" s="11" t="s">
        <v>0</v>
      </c>
      <c r="D160" s="11" t="s">
        <v>46</v>
      </c>
      <c r="E160" s="11" t="s">
        <v>48</v>
      </c>
      <c r="F160" s="11" t="s">
        <v>49</v>
      </c>
      <c r="G160" s="11" t="s">
        <v>50</v>
      </c>
    </row>
    <row r="161" spans="1:11" x14ac:dyDescent="0.25">
      <c r="A161" s="10">
        <v>2</v>
      </c>
      <c r="B161" s="19">
        <v>-0.21</v>
      </c>
      <c r="C161" s="19">
        <v>0</v>
      </c>
      <c r="D161" s="19">
        <v>-0.32</v>
      </c>
      <c r="E161" s="19"/>
      <c r="F161" s="19">
        <v>-0.16</v>
      </c>
      <c r="G161" s="14"/>
    </row>
    <row r="162" spans="1:11" x14ac:dyDescent="0.25">
      <c r="A162" s="18">
        <v>4</v>
      </c>
      <c r="B162" s="19">
        <v>-0.15</v>
      </c>
      <c r="C162" s="19">
        <v>0</v>
      </c>
      <c r="D162" s="19">
        <v>-0.33</v>
      </c>
      <c r="E162" s="19">
        <v>-0.27</v>
      </c>
      <c r="F162" s="19">
        <v>-0.13</v>
      </c>
      <c r="G162" s="19">
        <v>0.25</v>
      </c>
    </row>
    <row r="163" spans="1:11" x14ac:dyDescent="0.25">
      <c r="A163" s="18">
        <v>8</v>
      </c>
      <c r="B163" s="19">
        <v>-7.0000000000000007E-2</v>
      </c>
      <c r="C163" s="19">
        <v>0</v>
      </c>
      <c r="D163" s="19">
        <v>-0.64</v>
      </c>
      <c r="E163" s="19"/>
      <c r="F163" s="19">
        <v>-0.56000000000000005</v>
      </c>
      <c r="G163" s="14"/>
    </row>
    <row r="164" spans="1:11" x14ac:dyDescent="0.25">
      <c r="A164" s="18">
        <v>16</v>
      </c>
      <c r="B164" s="19">
        <v>-0.11</v>
      </c>
      <c r="C164" s="19">
        <v>0</v>
      </c>
      <c r="D164" s="19">
        <v>-0.44</v>
      </c>
      <c r="E164" s="19"/>
      <c r="F164" s="19">
        <v>-0.21</v>
      </c>
      <c r="G164" s="14"/>
    </row>
    <row r="167" spans="1:11" x14ac:dyDescent="0.25">
      <c r="A167" s="35" t="s">
        <v>17</v>
      </c>
      <c r="B167" s="35"/>
      <c r="C167" s="35"/>
      <c r="D167" s="35"/>
      <c r="E167" s="35"/>
      <c r="F167" s="35"/>
      <c r="G167" s="35"/>
      <c r="H167" s="14"/>
      <c r="I167" s="14"/>
      <c r="J167" s="14"/>
      <c r="K167" s="14"/>
    </row>
    <row r="168" spans="1:11" ht="30" x14ac:dyDescent="0.25">
      <c r="A168" s="15"/>
      <c r="B168" s="16" t="s">
        <v>6</v>
      </c>
      <c r="C168" s="17" t="s">
        <v>7</v>
      </c>
      <c r="D168" s="16" t="s">
        <v>8</v>
      </c>
      <c r="E168" s="17" t="s">
        <v>9</v>
      </c>
      <c r="F168" s="16" t="s">
        <v>1</v>
      </c>
      <c r="G168" s="16" t="s">
        <v>0</v>
      </c>
      <c r="H168" s="11" t="s">
        <v>46</v>
      </c>
      <c r="I168" s="11" t="s">
        <v>48</v>
      </c>
      <c r="J168" s="11" t="s">
        <v>49</v>
      </c>
      <c r="K168" s="11" t="s">
        <v>50</v>
      </c>
    </row>
    <row r="169" spans="1:11" x14ac:dyDescent="0.25">
      <c r="A169" s="18">
        <v>2</v>
      </c>
      <c r="B169" s="14">
        <v>752.8</v>
      </c>
      <c r="C169" s="14">
        <v>923.8</v>
      </c>
      <c r="D169" s="14">
        <v>2134.1999999999998</v>
      </c>
      <c r="E169" s="14">
        <v>2128.8000000000002</v>
      </c>
      <c r="F169" s="14">
        <v>167.4</v>
      </c>
      <c r="G169" s="14">
        <v>138.4</v>
      </c>
      <c r="H169" s="14">
        <v>182.6</v>
      </c>
      <c r="I169" s="14"/>
      <c r="J169" s="14">
        <v>161</v>
      </c>
      <c r="K169" s="14"/>
    </row>
    <row r="170" spans="1:11" x14ac:dyDescent="0.25">
      <c r="A170" s="18">
        <v>4</v>
      </c>
      <c r="B170" s="14">
        <v>2553.1999999999998</v>
      </c>
      <c r="C170" s="14">
        <v>1515.2</v>
      </c>
      <c r="D170" s="14">
        <v>2828.6</v>
      </c>
      <c r="E170" s="14">
        <v>2738.4</v>
      </c>
      <c r="F170" s="14">
        <v>397</v>
      </c>
      <c r="G170" s="14">
        <v>345.2</v>
      </c>
      <c r="H170" s="14">
        <v>458.2</v>
      </c>
      <c r="I170" s="14">
        <v>439.4</v>
      </c>
      <c r="J170" s="14">
        <v>388.6</v>
      </c>
      <c r="K170" s="14">
        <v>344.4</v>
      </c>
    </row>
    <row r="171" spans="1:11" x14ac:dyDescent="0.25">
      <c r="A171" s="18">
        <v>8</v>
      </c>
      <c r="B171" s="14">
        <v>4934.8</v>
      </c>
      <c r="C171" s="14">
        <v>2200.1999999999998</v>
      </c>
      <c r="D171" s="14">
        <v>3684.4</v>
      </c>
      <c r="E171" s="14">
        <v>3632.2</v>
      </c>
      <c r="F171" s="14">
        <v>648.6</v>
      </c>
      <c r="G171" s="14">
        <v>604.6</v>
      </c>
      <c r="H171" s="14">
        <v>990.2</v>
      </c>
      <c r="I171" s="14"/>
      <c r="J171" s="14">
        <v>944.2</v>
      </c>
      <c r="K171" s="14"/>
    </row>
    <row r="172" spans="1:11" x14ac:dyDescent="0.25">
      <c r="A172" s="18">
        <v>16</v>
      </c>
      <c r="B172" s="14">
        <v>8744.2000000000007</v>
      </c>
      <c r="C172" s="14">
        <v>3190.8</v>
      </c>
      <c r="D172" s="14">
        <v>4301.3999999999996</v>
      </c>
      <c r="E172" s="14">
        <v>4139.6000000000004</v>
      </c>
      <c r="F172" s="14">
        <v>1161.5999999999999</v>
      </c>
      <c r="G172" s="14">
        <v>1049.2</v>
      </c>
      <c r="H172" s="14">
        <v>1515</v>
      </c>
      <c r="I172" s="14"/>
      <c r="J172" s="14">
        <v>1270.5999999999999</v>
      </c>
      <c r="K172" s="14"/>
    </row>
    <row r="173" spans="1:1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8" spans="1:6" x14ac:dyDescent="0.25">
      <c r="B178" t="s">
        <v>52</v>
      </c>
      <c r="D178" t="s">
        <v>16</v>
      </c>
    </row>
    <row r="179" spans="1:6" x14ac:dyDescent="0.25">
      <c r="A179" s="14"/>
      <c r="B179" s="11" t="s">
        <v>51</v>
      </c>
      <c r="D179" s="14"/>
      <c r="E179" s="11" t="s">
        <v>51</v>
      </c>
    </row>
    <row r="180" spans="1:6" x14ac:dyDescent="0.25">
      <c r="A180" s="10">
        <v>0</v>
      </c>
      <c r="B180" s="14">
        <v>458.2</v>
      </c>
      <c r="D180" s="10">
        <v>0</v>
      </c>
      <c r="E180" s="12">
        <v>0</v>
      </c>
    </row>
    <row r="181" spans="1:6" x14ac:dyDescent="0.25">
      <c r="A181" s="10">
        <v>280</v>
      </c>
      <c r="B181" s="14">
        <v>417</v>
      </c>
      <c r="D181" s="10">
        <v>280</v>
      </c>
      <c r="E181" s="2">
        <v>3.5883634499551398E-2</v>
      </c>
    </row>
    <row r="182" spans="1:6" x14ac:dyDescent="0.25">
      <c r="A182" s="10">
        <v>560</v>
      </c>
      <c r="B182" s="28">
        <v>385</v>
      </c>
      <c r="D182" s="10">
        <v>560</v>
      </c>
      <c r="E182" s="2">
        <v>7.1767268999102907E-2</v>
      </c>
    </row>
    <row r="183" spans="1:6" x14ac:dyDescent="0.25">
      <c r="A183" s="10">
        <v>840</v>
      </c>
      <c r="B183" s="28">
        <v>383</v>
      </c>
      <c r="C183">
        <v>327</v>
      </c>
      <c r="D183" s="10">
        <v>840</v>
      </c>
      <c r="E183" s="2">
        <v>0.126105344098423</v>
      </c>
      <c r="F183" s="2">
        <v>0.142765602973215</v>
      </c>
    </row>
    <row r="184" spans="1:6" x14ac:dyDescent="0.25">
      <c r="A184" s="10">
        <v>1120</v>
      </c>
      <c r="B184" s="14">
        <v>353</v>
      </c>
      <c r="D184" s="10">
        <v>1120</v>
      </c>
      <c r="E184" s="2">
        <v>0.14353453799820501</v>
      </c>
    </row>
    <row r="185" spans="1:6" x14ac:dyDescent="0.25">
      <c r="A185" s="18">
        <v>1400</v>
      </c>
      <c r="B185" s="14">
        <v>326</v>
      </c>
      <c r="D185" s="18">
        <v>1400</v>
      </c>
      <c r="E185" s="2">
        <v>0.23273100089709001</v>
      </c>
    </row>
    <row r="186" spans="1:6" x14ac:dyDescent="0.25">
      <c r="A186" s="18">
        <v>1680</v>
      </c>
      <c r="B186" s="14">
        <v>335</v>
      </c>
      <c r="D186" s="18">
        <v>1680</v>
      </c>
      <c r="E186" s="12">
        <v>0.19774445726002801</v>
      </c>
    </row>
    <row r="187" spans="1:6" x14ac:dyDescent="0.25">
      <c r="A187" s="18">
        <v>1960</v>
      </c>
      <c r="B187" s="14">
        <v>478</v>
      </c>
      <c r="D187" s="18">
        <v>1960</v>
      </c>
      <c r="E187" s="12">
        <v>0.25118544149686001</v>
      </c>
    </row>
    <row r="188" spans="1:6" x14ac:dyDescent="0.25">
      <c r="A188" s="29">
        <v>2240</v>
      </c>
      <c r="B188" s="14">
        <v>580</v>
      </c>
      <c r="D188" s="29">
        <v>2240</v>
      </c>
      <c r="E188" s="12">
        <v>0.35678585159553999</v>
      </c>
    </row>
    <row r="189" spans="1:6" x14ac:dyDescent="0.25">
      <c r="A189" s="29">
        <v>2520</v>
      </c>
      <c r="B189">
        <v>1150</v>
      </c>
      <c r="D189" s="29">
        <v>2520</v>
      </c>
      <c r="E189" s="12">
        <v>0.35678585159553999</v>
      </c>
    </row>
  </sheetData>
  <mergeCells count="12">
    <mergeCell ref="A123:G123"/>
    <mergeCell ref="A124:G124"/>
    <mergeCell ref="A167:G167"/>
    <mergeCell ref="A52:G52"/>
    <mergeCell ref="A41:G41"/>
    <mergeCell ref="A42:G42"/>
    <mergeCell ref="A29:G29"/>
    <mergeCell ref="A2:G2"/>
    <mergeCell ref="A3:G3"/>
    <mergeCell ref="A15:G15"/>
    <mergeCell ref="A16:G16"/>
    <mergeCell ref="A28:G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94853-EA2F-440E-86FA-26A010919896}">
  <dimension ref="A1:P85"/>
  <sheetViews>
    <sheetView tabSelected="1" zoomScale="85" zoomScaleNormal="85" workbookViewId="0">
      <selection activeCell="R7" sqref="R7"/>
    </sheetView>
  </sheetViews>
  <sheetFormatPr defaultRowHeight="15" x14ac:dyDescent="0.25"/>
  <cols>
    <col min="12" max="12" width="17.85546875" bestFit="1" customWidth="1"/>
  </cols>
  <sheetData>
    <row r="1" spans="1:16" x14ac:dyDescent="0.25">
      <c r="A1" t="s">
        <v>31</v>
      </c>
      <c r="B1" t="s">
        <v>32</v>
      </c>
    </row>
    <row r="2" spans="1:16" x14ac:dyDescent="0.25">
      <c r="A2" s="20"/>
      <c r="B2" s="21" t="s">
        <v>1</v>
      </c>
      <c r="C2" s="21" t="s">
        <v>0</v>
      </c>
      <c r="D2" s="21" t="s">
        <v>24</v>
      </c>
      <c r="E2" s="22" t="s">
        <v>30</v>
      </c>
      <c r="M2" s="21" t="s">
        <v>1</v>
      </c>
      <c r="N2" s="21" t="s">
        <v>0</v>
      </c>
      <c r="O2" s="21" t="s">
        <v>46</v>
      </c>
      <c r="P2" s="22" t="s">
        <v>47</v>
      </c>
    </row>
    <row r="3" spans="1:16" x14ac:dyDescent="0.25">
      <c r="A3" s="21">
        <v>2</v>
      </c>
      <c r="B3" s="23">
        <v>167.4</v>
      </c>
      <c r="C3" s="23">
        <v>138.4</v>
      </c>
      <c r="D3" s="23">
        <v>182.6</v>
      </c>
      <c r="E3" s="23">
        <v>161</v>
      </c>
      <c r="L3" t="s">
        <v>43</v>
      </c>
      <c r="M3">
        <v>1435</v>
      </c>
      <c r="N3">
        <v>1332.2</v>
      </c>
      <c r="O3">
        <v>1258.4000000000001</v>
      </c>
      <c r="P3">
        <v>1251</v>
      </c>
    </row>
    <row r="4" spans="1:16" x14ac:dyDescent="0.25">
      <c r="A4" s="21">
        <v>4</v>
      </c>
      <c r="B4" s="23">
        <v>397</v>
      </c>
      <c r="C4" s="23">
        <v>345.2</v>
      </c>
      <c r="D4" s="23">
        <v>458.2</v>
      </c>
      <c r="E4" s="23">
        <v>388.6</v>
      </c>
      <c r="L4" t="s">
        <v>44</v>
      </c>
      <c r="M4">
        <v>755.4</v>
      </c>
      <c r="N4">
        <v>907.6</v>
      </c>
      <c r="O4">
        <v>825.4</v>
      </c>
      <c r="P4">
        <v>759.4</v>
      </c>
    </row>
    <row r="5" spans="1:16" x14ac:dyDescent="0.25">
      <c r="A5" s="21">
        <v>8</v>
      </c>
      <c r="B5" s="23">
        <v>648.6</v>
      </c>
      <c r="C5" s="23">
        <v>604.6</v>
      </c>
      <c r="D5" s="23">
        <v>792.2</v>
      </c>
      <c r="E5" s="23">
        <v>720.2</v>
      </c>
      <c r="L5" t="s">
        <v>45</v>
      </c>
      <c r="M5" s="23">
        <v>397</v>
      </c>
      <c r="N5" s="23">
        <v>345.2</v>
      </c>
      <c r="O5" s="23">
        <v>458.2</v>
      </c>
      <c r="P5" s="23">
        <v>388.6</v>
      </c>
    </row>
    <row r="6" spans="1:16" x14ac:dyDescent="0.25">
      <c r="A6" s="21">
        <v>16</v>
      </c>
      <c r="B6" s="23">
        <v>1161.5999999999999</v>
      </c>
      <c r="C6" s="23">
        <v>1049.2</v>
      </c>
      <c r="D6" s="23">
        <v>1375</v>
      </c>
      <c r="E6" s="23">
        <v>1270.5999999999999</v>
      </c>
    </row>
    <row r="9" spans="1:16" x14ac:dyDescent="0.25">
      <c r="A9" t="s">
        <v>33</v>
      </c>
    </row>
    <row r="10" spans="1:16" x14ac:dyDescent="0.25">
      <c r="A10" s="20"/>
      <c r="B10" s="21" t="s">
        <v>1</v>
      </c>
      <c r="C10" s="21" t="s">
        <v>0</v>
      </c>
      <c r="D10" s="21" t="s">
        <v>24</v>
      </c>
      <c r="E10" s="22" t="s">
        <v>30</v>
      </c>
      <c r="M10" s="21" t="s">
        <v>1</v>
      </c>
      <c r="N10" s="21" t="s">
        <v>0</v>
      </c>
      <c r="O10" s="21" t="s">
        <v>24</v>
      </c>
      <c r="P10" s="22" t="s">
        <v>47</v>
      </c>
    </row>
    <row r="11" spans="1:16" x14ac:dyDescent="0.25">
      <c r="A11" s="21">
        <v>2</v>
      </c>
      <c r="B11" s="23">
        <v>1.4762</v>
      </c>
      <c r="C11" s="23">
        <v>0.98839999999999983</v>
      </c>
      <c r="D11" s="23">
        <v>2.508</v>
      </c>
      <c r="E11" s="23">
        <v>2.3768000000000002</v>
      </c>
      <c r="L11" t="s">
        <v>43</v>
      </c>
      <c r="M11" s="26">
        <v>0.63960000000000006</v>
      </c>
      <c r="N11" s="26">
        <v>0.80920000000000003</v>
      </c>
      <c r="O11" s="26">
        <v>0.85180000000000011</v>
      </c>
      <c r="P11" s="26">
        <v>0.8256</v>
      </c>
    </row>
    <row r="12" spans="1:16" x14ac:dyDescent="0.25">
      <c r="A12" s="21">
        <v>4</v>
      </c>
      <c r="B12" s="23">
        <v>2.0864000000000003</v>
      </c>
      <c r="C12" s="23">
        <v>1.0564</v>
      </c>
      <c r="D12" s="23">
        <v>3.0064000000000002</v>
      </c>
      <c r="E12" s="23">
        <v>3.2231999999999998</v>
      </c>
      <c r="L12" t="s">
        <v>44</v>
      </c>
      <c r="M12">
        <v>1.5190000000000001</v>
      </c>
      <c r="N12" s="26">
        <v>1.4872000000000001</v>
      </c>
      <c r="O12" s="26">
        <v>2.4645999999999999</v>
      </c>
      <c r="P12" s="26">
        <v>2.3527999999999998</v>
      </c>
    </row>
    <row r="13" spans="1:16" x14ac:dyDescent="0.25">
      <c r="A13" s="21">
        <v>8</v>
      </c>
      <c r="B13" s="23">
        <v>2.1432000000000002</v>
      </c>
      <c r="C13" s="23">
        <v>1.2193999999999998</v>
      </c>
      <c r="D13" s="23">
        <v>3.8542000000000001</v>
      </c>
      <c r="E13" s="23">
        <v>3.7851999999999997</v>
      </c>
      <c r="L13" t="s">
        <v>45</v>
      </c>
      <c r="M13" s="27">
        <v>2.0864000000000003</v>
      </c>
      <c r="N13" s="27">
        <v>1.0564</v>
      </c>
      <c r="O13" s="27">
        <v>3.0064000000000002</v>
      </c>
      <c r="P13" s="27">
        <v>3.2231999999999998</v>
      </c>
    </row>
    <row r="14" spans="1:16" x14ac:dyDescent="0.25">
      <c r="A14" s="21">
        <v>16</v>
      </c>
      <c r="B14" s="23">
        <v>2.9089999999999998</v>
      </c>
      <c r="C14" s="23">
        <v>1.6084000000000001</v>
      </c>
      <c r="D14" s="23">
        <v>3.8741999999999996</v>
      </c>
      <c r="E14" s="23">
        <v>3.5635999999999997</v>
      </c>
    </row>
    <row r="19" spans="1:16" x14ac:dyDescent="0.25">
      <c r="A19" t="s">
        <v>34</v>
      </c>
    </row>
    <row r="20" spans="1:16" x14ac:dyDescent="0.25">
      <c r="A20" t="s">
        <v>5</v>
      </c>
    </row>
    <row r="21" spans="1:16" x14ac:dyDescent="0.25">
      <c r="B21" t="s">
        <v>1</v>
      </c>
      <c r="C21" t="s">
        <v>0</v>
      </c>
      <c r="D21" t="s">
        <v>24</v>
      </c>
      <c r="E21" t="s">
        <v>30</v>
      </c>
      <c r="M21" s="21" t="s">
        <v>1</v>
      </c>
      <c r="N21" s="21" t="s">
        <v>0</v>
      </c>
      <c r="O21" s="21" t="s">
        <v>24</v>
      </c>
      <c r="P21" s="22" t="s">
        <v>47</v>
      </c>
    </row>
    <row r="22" spans="1:16" x14ac:dyDescent="0.25">
      <c r="A22">
        <v>2</v>
      </c>
      <c r="B22" s="24">
        <v>0.14179999999999998</v>
      </c>
      <c r="C22" s="24">
        <v>0.1288</v>
      </c>
      <c r="D22" s="24">
        <v>0</v>
      </c>
      <c r="E22" s="24">
        <v>7.9752000000000003E-2</v>
      </c>
      <c r="L22" t="s">
        <v>43</v>
      </c>
      <c r="M22" s="24">
        <v>0.26044</v>
      </c>
      <c r="N22" s="24">
        <v>0.26141999999999999</v>
      </c>
      <c r="O22" s="24">
        <v>0</v>
      </c>
      <c r="P22" s="24">
        <v>9.5014000000000001E-2</v>
      </c>
    </row>
    <row r="23" spans="1:16" x14ac:dyDescent="0.25">
      <c r="A23">
        <v>4</v>
      </c>
      <c r="B23" s="24">
        <v>0.25760000000000005</v>
      </c>
      <c r="C23" s="24">
        <v>0.25599999999999995</v>
      </c>
      <c r="D23" s="24">
        <v>0</v>
      </c>
      <c r="E23" s="24">
        <v>7.8972000000000001E-2</v>
      </c>
      <c r="L23" t="s">
        <v>44</v>
      </c>
      <c r="M23" s="13">
        <v>0.26247999999999999</v>
      </c>
      <c r="N23" s="13">
        <v>0.27643999999999996</v>
      </c>
      <c r="O23" s="13">
        <v>0</v>
      </c>
      <c r="P23" s="13">
        <v>4.4740000000000002E-2</v>
      </c>
    </row>
    <row r="24" spans="1:16" x14ac:dyDescent="0.25">
      <c r="A24">
        <v>8</v>
      </c>
      <c r="B24" s="24">
        <v>0.49719999999999998</v>
      </c>
      <c r="C24" s="24">
        <v>0.49539999999999995</v>
      </c>
      <c r="D24" s="24">
        <v>0</v>
      </c>
      <c r="E24" s="24">
        <v>0.212426</v>
      </c>
      <c r="L24" t="s">
        <v>45</v>
      </c>
      <c r="M24" s="24">
        <v>0.25760000000000005</v>
      </c>
      <c r="N24" s="24">
        <v>0.25599999999999995</v>
      </c>
      <c r="O24" s="24">
        <v>0</v>
      </c>
      <c r="P24" s="24">
        <v>7.8972000000000001E-2</v>
      </c>
    </row>
    <row r="25" spans="1:16" x14ac:dyDescent="0.25">
      <c r="A25">
        <v>16</v>
      </c>
      <c r="B25" s="24">
        <v>0.85939999999999994</v>
      </c>
      <c r="C25" s="24">
        <v>0.86612000000000011</v>
      </c>
      <c r="D25" s="24">
        <v>0</v>
      </c>
      <c r="E25" s="24">
        <v>0.24162</v>
      </c>
    </row>
    <row r="30" spans="1:16" x14ac:dyDescent="0.25">
      <c r="A30" s="37" t="s">
        <v>36</v>
      </c>
      <c r="B30" s="37"/>
      <c r="C30" s="37"/>
      <c r="D30" s="37"/>
      <c r="E30" s="37"/>
      <c r="F30" s="37"/>
      <c r="G30" s="37"/>
    </row>
    <row r="31" spans="1:16" x14ac:dyDescent="0.25">
      <c r="B31" t="s">
        <v>1</v>
      </c>
      <c r="C31" t="s">
        <v>0</v>
      </c>
      <c r="D31" t="s">
        <v>24</v>
      </c>
      <c r="E31" t="s">
        <v>35</v>
      </c>
    </row>
    <row r="32" spans="1:16" x14ac:dyDescent="0.25">
      <c r="A32">
        <v>2</v>
      </c>
      <c r="B32">
        <v>935.6</v>
      </c>
      <c r="C32">
        <v>704</v>
      </c>
      <c r="D32">
        <v>773</v>
      </c>
      <c r="E32">
        <v>761.2</v>
      </c>
    </row>
    <row r="33" spans="1:5" x14ac:dyDescent="0.25">
      <c r="A33">
        <v>4</v>
      </c>
      <c r="B33">
        <v>1435</v>
      </c>
      <c r="C33">
        <v>1332.2</v>
      </c>
      <c r="D33">
        <v>1258.4000000000001</v>
      </c>
      <c r="E33">
        <v>1251</v>
      </c>
    </row>
    <row r="34" spans="1:5" x14ac:dyDescent="0.25">
      <c r="A34">
        <v>8</v>
      </c>
      <c r="B34">
        <v>1880.2</v>
      </c>
      <c r="C34">
        <v>1750.8</v>
      </c>
      <c r="D34">
        <v>1634.6</v>
      </c>
      <c r="E34">
        <v>1583</v>
      </c>
    </row>
    <row r="35" spans="1:5" x14ac:dyDescent="0.25">
      <c r="A35">
        <v>16</v>
      </c>
      <c r="B35">
        <v>2311.6</v>
      </c>
      <c r="C35">
        <v>2226.8000000000002</v>
      </c>
      <c r="D35">
        <v>2277</v>
      </c>
      <c r="E35">
        <v>2279</v>
      </c>
    </row>
    <row r="37" spans="1:5" x14ac:dyDescent="0.25">
      <c r="A37" t="s">
        <v>37</v>
      </c>
    </row>
    <row r="38" spans="1:5" x14ac:dyDescent="0.25">
      <c r="B38" t="s">
        <v>1</v>
      </c>
      <c r="C38" t="s">
        <v>0</v>
      </c>
      <c r="D38" t="s">
        <v>24</v>
      </c>
      <c r="E38" t="s">
        <v>35</v>
      </c>
    </row>
    <row r="39" spans="1:5" x14ac:dyDescent="0.25">
      <c r="A39">
        <v>2</v>
      </c>
      <c r="B39">
        <v>0.52259999999999995</v>
      </c>
      <c r="C39">
        <v>0.46800000000000008</v>
      </c>
      <c r="D39">
        <v>0.63260000000000005</v>
      </c>
      <c r="E39">
        <v>0.6624000000000001</v>
      </c>
    </row>
    <row r="40" spans="1:5" x14ac:dyDescent="0.25">
      <c r="A40">
        <v>4</v>
      </c>
      <c r="B40">
        <v>0.63960000000000006</v>
      </c>
      <c r="C40">
        <v>0.80920000000000003</v>
      </c>
      <c r="D40">
        <v>0.85180000000000011</v>
      </c>
      <c r="E40">
        <v>0.8256</v>
      </c>
    </row>
    <row r="41" spans="1:5" x14ac:dyDescent="0.25">
      <c r="A41">
        <v>8</v>
      </c>
      <c r="B41">
        <v>0.76340000000000008</v>
      </c>
      <c r="C41">
        <v>1.0364</v>
      </c>
      <c r="D41">
        <v>1.0902000000000001</v>
      </c>
      <c r="E41">
        <v>1.1626000000000001</v>
      </c>
    </row>
    <row r="42" spans="1:5" x14ac:dyDescent="0.25">
      <c r="A42">
        <v>16</v>
      </c>
      <c r="B42">
        <v>1.1254</v>
      </c>
      <c r="C42">
        <v>1.5226</v>
      </c>
      <c r="D42">
        <v>1.2802</v>
      </c>
      <c r="E42">
        <v>1.3073999999999999</v>
      </c>
    </row>
    <row r="48" spans="1:5" x14ac:dyDescent="0.25">
      <c r="A48" t="s">
        <v>38</v>
      </c>
    </row>
    <row r="50" spans="1:5" x14ac:dyDescent="0.25">
      <c r="B50" t="s">
        <v>1</v>
      </c>
      <c r="C50" t="s">
        <v>0</v>
      </c>
      <c r="D50" t="s">
        <v>24</v>
      </c>
      <c r="E50" t="s">
        <v>35</v>
      </c>
    </row>
    <row r="51" spans="1:5" x14ac:dyDescent="0.25">
      <c r="A51">
        <v>2</v>
      </c>
      <c r="B51" s="24">
        <v>0.14072000000000001</v>
      </c>
      <c r="C51" s="24">
        <v>0.12754000000000001</v>
      </c>
      <c r="D51" s="24">
        <v>0</v>
      </c>
      <c r="E51" s="24">
        <v>0.10124680000000001</v>
      </c>
    </row>
    <row r="52" spans="1:5" x14ac:dyDescent="0.25">
      <c r="A52">
        <v>4</v>
      </c>
      <c r="B52" s="24">
        <v>0.26044</v>
      </c>
      <c r="C52" s="24">
        <v>0.26141999999999999</v>
      </c>
      <c r="D52" s="24">
        <v>0</v>
      </c>
      <c r="E52" s="24">
        <v>9.5014000000000001E-2</v>
      </c>
    </row>
    <row r="53" spans="1:5" x14ac:dyDescent="0.25">
      <c r="A53">
        <v>8</v>
      </c>
      <c r="B53" s="24">
        <v>0.49757999999999997</v>
      </c>
      <c r="C53" s="24">
        <v>0.51740000000000008</v>
      </c>
      <c r="D53" s="24">
        <v>0</v>
      </c>
      <c r="E53" s="24">
        <v>2.5940000000000001E-2</v>
      </c>
    </row>
    <row r="54" spans="1:5" x14ac:dyDescent="0.25">
      <c r="A54">
        <v>16</v>
      </c>
      <c r="B54" s="24">
        <v>0.8607999999999999</v>
      </c>
      <c r="C54" s="24">
        <v>0.87059999999999993</v>
      </c>
      <c r="D54" s="24">
        <v>0</v>
      </c>
      <c r="E54" s="24">
        <v>3.1020000000000002E-2</v>
      </c>
    </row>
    <row r="64" spans="1:5" x14ac:dyDescent="0.25">
      <c r="A64" t="s">
        <v>40</v>
      </c>
    </row>
    <row r="65" spans="1:5" x14ac:dyDescent="0.25">
      <c r="B65" t="s">
        <v>1</v>
      </c>
      <c r="C65" t="s">
        <v>0</v>
      </c>
      <c r="D65" t="s">
        <v>24</v>
      </c>
      <c r="E65" t="s">
        <v>39</v>
      </c>
    </row>
    <row r="66" spans="1:5" x14ac:dyDescent="0.25">
      <c r="A66">
        <v>2</v>
      </c>
      <c r="B66">
        <v>407.6</v>
      </c>
      <c r="C66">
        <v>616.6</v>
      </c>
      <c r="D66">
        <v>451</v>
      </c>
      <c r="E66">
        <v>422.4</v>
      </c>
    </row>
    <row r="67" spans="1:5" x14ac:dyDescent="0.25">
      <c r="A67">
        <v>4</v>
      </c>
      <c r="B67">
        <v>755.4</v>
      </c>
      <c r="C67">
        <v>907.6</v>
      </c>
      <c r="D67">
        <v>825.4</v>
      </c>
      <c r="E67">
        <v>759.4</v>
      </c>
    </row>
    <row r="68" spans="1:5" x14ac:dyDescent="0.25">
      <c r="A68">
        <v>8</v>
      </c>
      <c r="B68">
        <v>1139.4000000000001</v>
      </c>
      <c r="C68">
        <v>1451.2</v>
      </c>
      <c r="D68">
        <v>1404</v>
      </c>
      <c r="E68">
        <v>1222.5999999999999</v>
      </c>
    </row>
    <row r="69" spans="1:5" x14ac:dyDescent="0.25">
      <c r="A69">
        <v>16</v>
      </c>
      <c r="B69">
        <v>1644.2</v>
      </c>
      <c r="C69">
        <v>1724.8</v>
      </c>
      <c r="D69">
        <v>1825.2</v>
      </c>
      <c r="E69">
        <v>1731.4</v>
      </c>
    </row>
    <row r="72" spans="1:5" x14ac:dyDescent="0.25">
      <c r="A72" t="s">
        <v>41</v>
      </c>
    </row>
    <row r="73" spans="1:5" x14ac:dyDescent="0.25">
      <c r="B73" t="s">
        <v>1</v>
      </c>
      <c r="C73" t="s">
        <v>0</v>
      </c>
      <c r="D73" t="s">
        <v>24</v>
      </c>
      <c r="E73" t="s">
        <v>39</v>
      </c>
    </row>
    <row r="74" spans="1:5" x14ac:dyDescent="0.25">
      <c r="A74">
        <v>2</v>
      </c>
      <c r="B74">
        <v>0.97059999999999991</v>
      </c>
      <c r="C74">
        <v>1.1941999999999999</v>
      </c>
      <c r="D74">
        <v>1.7565999999999999</v>
      </c>
      <c r="E74">
        <v>1.7050000000000001</v>
      </c>
    </row>
    <row r="75" spans="1:5" x14ac:dyDescent="0.25">
      <c r="A75">
        <v>4</v>
      </c>
      <c r="B75">
        <v>1.5190000000000001</v>
      </c>
      <c r="C75">
        <v>1.4872000000000001</v>
      </c>
      <c r="D75">
        <v>2.4645999999999999</v>
      </c>
      <c r="E75">
        <v>2.3527999999999998</v>
      </c>
    </row>
    <row r="76" spans="1:5" x14ac:dyDescent="0.25">
      <c r="A76">
        <v>8</v>
      </c>
      <c r="B76">
        <v>2.0973999999999999</v>
      </c>
      <c r="C76">
        <v>2.1905999999999999</v>
      </c>
      <c r="D76">
        <v>2.7736000000000001</v>
      </c>
      <c r="E76">
        <v>2.12</v>
      </c>
    </row>
    <row r="77" spans="1:5" x14ac:dyDescent="0.25">
      <c r="A77">
        <v>16</v>
      </c>
      <c r="B77">
        <v>2.3555999999999999</v>
      </c>
      <c r="C77">
        <v>2.7353999999999998</v>
      </c>
      <c r="D77">
        <v>3.4652000000000003</v>
      </c>
      <c r="E77">
        <v>3.3335999999999997</v>
      </c>
    </row>
    <row r="80" spans="1:5" x14ac:dyDescent="0.25">
      <c r="A80" t="s">
        <v>5</v>
      </c>
    </row>
    <row r="81" spans="1:5" x14ac:dyDescent="0.25">
      <c r="B81" t="s">
        <v>1</v>
      </c>
      <c r="C81" t="s">
        <v>0</v>
      </c>
      <c r="D81" t="s">
        <v>24</v>
      </c>
      <c r="E81" t="s">
        <v>42</v>
      </c>
    </row>
    <row r="82" spans="1:5" x14ac:dyDescent="0.25">
      <c r="A82" s="25">
        <v>2</v>
      </c>
      <c r="B82">
        <v>0.14455999999999999</v>
      </c>
      <c r="C82">
        <v>0.16008</v>
      </c>
      <c r="D82">
        <v>0</v>
      </c>
      <c r="E82">
        <v>0.1</v>
      </c>
    </row>
    <row r="83" spans="1:5" x14ac:dyDescent="0.25">
      <c r="A83">
        <v>4</v>
      </c>
      <c r="B83">
        <v>0.26247999999999999</v>
      </c>
      <c r="C83">
        <v>0.27643999999999996</v>
      </c>
      <c r="D83">
        <v>0</v>
      </c>
      <c r="E83">
        <v>0.1197</v>
      </c>
    </row>
    <row r="84" spans="1:5" x14ac:dyDescent="0.25">
      <c r="A84">
        <v>8</v>
      </c>
      <c r="B84">
        <v>0.49659999999999993</v>
      </c>
      <c r="C84">
        <v>0.51260000000000006</v>
      </c>
      <c r="D84">
        <v>0</v>
      </c>
      <c r="E84">
        <v>3.4160000000000003E-2</v>
      </c>
    </row>
    <row r="85" spans="1:5" x14ac:dyDescent="0.25">
      <c r="A85">
        <v>16</v>
      </c>
      <c r="B85">
        <v>0.85804000000000014</v>
      </c>
      <c r="C85">
        <v>0.87674000000000007</v>
      </c>
      <c r="D85">
        <v>0</v>
      </c>
      <c r="E85">
        <v>6.7047999999999996E-2</v>
      </c>
    </row>
  </sheetData>
  <mergeCells count="1">
    <mergeCell ref="A30:G3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topLeftCell="A49" zoomScale="85" zoomScaleNormal="85" workbookViewId="0">
      <selection activeCell="H39" sqref="H39:H43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D1" s="9" t="s">
        <v>23</v>
      </c>
    </row>
    <row r="2" spans="1:9" x14ac:dyDescent="0.25">
      <c r="A2" s="31" t="s">
        <v>19</v>
      </c>
      <c r="B2" s="31"/>
      <c r="C2" s="31"/>
      <c r="D2" s="31"/>
      <c r="E2" s="31"/>
      <c r="F2" s="31"/>
      <c r="G2" s="31"/>
    </row>
    <row r="3" spans="1:9" x14ac:dyDescent="0.25">
      <c r="A3" s="38" t="s">
        <v>15</v>
      </c>
      <c r="B3" s="32"/>
      <c r="C3" s="32"/>
      <c r="D3" s="32"/>
      <c r="E3" s="32"/>
      <c r="F3" s="32"/>
      <c r="G3" s="39"/>
    </row>
    <row r="4" spans="1:9" ht="60" x14ac:dyDescent="0.25">
      <c r="A4" s="5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89.13</v>
      </c>
      <c r="C5">
        <v>73.685000000000002</v>
      </c>
      <c r="D5">
        <v>2.9089999999999998</v>
      </c>
      <c r="E5">
        <v>1.9179999999999999</v>
      </c>
      <c r="F5">
        <v>1.7090000000000001</v>
      </c>
      <c r="G5">
        <v>0.77500000000000002</v>
      </c>
      <c r="H5">
        <v>3.641</v>
      </c>
      <c r="I5">
        <v>2.044</v>
      </c>
    </row>
    <row r="6" spans="1:9" x14ac:dyDescent="0.25">
      <c r="A6" s="1" t="s">
        <v>11</v>
      </c>
      <c r="B6">
        <v>86.834000000000003</v>
      </c>
      <c r="C6">
        <v>97.706000000000003</v>
      </c>
      <c r="D6">
        <v>3.6280000000000001</v>
      </c>
      <c r="E6">
        <v>2.2709999999999999</v>
      </c>
      <c r="F6">
        <v>1.9259999999999999</v>
      </c>
      <c r="G6">
        <v>0.998</v>
      </c>
      <c r="H6">
        <v>3.6930000000000001</v>
      </c>
      <c r="I6">
        <v>2.3210000000000002</v>
      </c>
    </row>
    <row r="7" spans="1:9" x14ac:dyDescent="0.25">
      <c r="A7" s="1" t="s">
        <v>12</v>
      </c>
      <c r="B7">
        <v>92.950999999999993</v>
      </c>
      <c r="C7">
        <v>78.968999999999994</v>
      </c>
      <c r="D7">
        <v>3.0379999999999998</v>
      </c>
      <c r="E7">
        <v>2.0049999999999999</v>
      </c>
      <c r="F7">
        <v>2.2509999999999999</v>
      </c>
      <c r="G7">
        <v>1.252</v>
      </c>
      <c r="H7">
        <v>3.8719999999999999</v>
      </c>
      <c r="I7">
        <v>2.2629999999999999</v>
      </c>
    </row>
    <row r="8" spans="1:9" x14ac:dyDescent="0.25">
      <c r="A8" s="1" t="s">
        <v>13</v>
      </c>
      <c r="B8">
        <v>93.647000000000006</v>
      </c>
      <c r="C8">
        <v>92.076999999999998</v>
      </c>
      <c r="D8">
        <v>3.2349999999999999</v>
      </c>
      <c r="E8">
        <v>2.238</v>
      </c>
      <c r="F8">
        <v>2.1720000000000002</v>
      </c>
      <c r="G8">
        <v>1.1120000000000001</v>
      </c>
      <c r="H8">
        <v>3.613</v>
      </c>
      <c r="I8">
        <v>2.2370000000000001</v>
      </c>
    </row>
    <row r="9" spans="1:9" x14ac:dyDescent="0.25">
      <c r="A9" s="1" t="s">
        <v>14</v>
      </c>
      <c r="B9">
        <v>96.210999999999999</v>
      </c>
      <c r="C9">
        <v>77.879000000000005</v>
      </c>
      <c r="D9">
        <v>2.9929999999999999</v>
      </c>
      <c r="E9">
        <v>2.42</v>
      </c>
      <c r="F9">
        <v>2.3279999999999998</v>
      </c>
      <c r="G9">
        <v>1.0840000000000001</v>
      </c>
      <c r="H9">
        <v>3.738</v>
      </c>
      <c r="I9">
        <v>2.3239999999999998</v>
      </c>
    </row>
    <row r="14" spans="1:9" x14ac:dyDescent="0.25">
      <c r="A14" s="31" t="s">
        <v>20</v>
      </c>
      <c r="B14" s="31"/>
      <c r="C14" s="31"/>
      <c r="D14" s="31"/>
      <c r="E14" s="31"/>
      <c r="F14" s="31"/>
      <c r="G14" s="31"/>
    </row>
    <row r="15" spans="1:9" x14ac:dyDescent="0.25">
      <c r="A15" s="38" t="s">
        <v>15</v>
      </c>
      <c r="B15" s="32"/>
      <c r="C15" s="32"/>
      <c r="D15" s="32"/>
      <c r="E15" s="32"/>
      <c r="F15" s="32"/>
      <c r="G15" s="39"/>
    </row>
    <row r="16" spans="1:9" ht="60" x14ac:dyDescent="0.25">
      <c r="A16" s="5"/>
      <c r="B16" s="1" t="s">
        <v>6</v>
      </c>
      <c r="C16" s="4" t="s">
        <v>7</v>
      </c>
      <c r="D16" s="1" t="s">
        <v>8</v>
      </c>
      <c r="E16" s="4" t="s">
        <v>9</v>
      </c>
      <c r="F16" s="1" t="s">
        <v>1</v>
      </c>
      <c r="G16" s="1" t="s">
        <v>0</v>
      </c>
      <c r="H16" s="10" t="s">
        <v>24</v>
      </c>
      <c r="I16" s="11" t="s">
        <v>25</v>
      </c>
    </row>
    <row r="17" spans="1:9" x14ac:dyDescent="0.25">
      <c r="A17" s="1" t="s">
        <v>10</v>
      </c>
      <c r="B17">
        <v>143.33199999999999</v>
      </c>
      <c r="C17">
        <v>151.19999999999999</v>
      </c>
      <c r="D17">
        <v>3.2549999999999999</v>
      </c>
      <c r="E17">
        <v>1.7649999999999999</v>
      </c>
      <c r="F17">
        <v>2.2440000000000002</v>
      </c>
      <c r="G17">
        <v>0.77500000000000002</v>
      </c>
      <c r="H17">
        <v>3.29</v>
      </c>
      <c r="I17">
        <v>2.2130000000000001</v>
      </c>
    </row>
    <row r="18" spans="1:9" x14ac:dyDescent="0.25">
      <c r="A18" s="1" t="s">
        <v>11</v>
      </c>
      <c r="B18">
        <v>99.855000000000004</v>
      </c>
      <c r="C18">
        <v>157.47800000000001</v>
      </c>
      <c r="D18">
        <v>3.008</v>
      </c>
      <c r="E18">
        <v>1.498</v>
      </c>
      <c r="F18">
        <v>1.9690000000000001</v>
      </c>
      <c r="G18">
        <v>0.998</v>
      </c>
      <c r="H18">
        <v>3.43</v>
      </c>
      <c r="I18">
        <v>2.202</v>
      </c>
    </row>
    <row r="19" spans="1:9" x14ac:dyDescent="0.25">
      <c r="A19" s="1" t="s">
        <v>12</v>
      </c>
      <c r="B19">
        <v>148.94399999999999</v>
      </c>
      <c r="C19">
        <v>144.88</v>
      </c>
      <c r="D19">
        <v>2.516</v>
      </c>
      <c r="E19">
        <v>1.494</v>
      </c>
      <c r="F19">
        <v>2.1669999999999998</v>
      </c>
      <c r="G19">
        <v>1.252</v>
      </c>
      <c r="H19">
        <v>3.6019999999999999</v>
      </c>
      <c r="I19">
        <v>2.1880000000000002</v>
      </c>
    </row>
    <row r="20" spans="1:9" x14ac:dyDescent="0.25">
      <c r="A20" s="1" t="s">
        <v>13</v>
      </c>
      <c r="B20">
        <v>144.47999999999999</v>
      </c>
      <c r="C20">
        <v>137.624</v>
      </c>
      <c r="D20">
        <v>3.6739999999999999</v>
      </c>
      <c r="E20">
        <v>1.647</v>
      </c>
      <c r="F20">
        <v>2.569</v>
      </c>
      <c r="G20">
        <v>1.1120000000000001</v>
      </c>
      <c r="H20">
        <v>3.6560000000000001</v>
      </c>
      <c r="I20">
        <v>2.1579999999999999</v>
      </c>
    </row>
    <row r="21" spans="1:9" x14ac:dyDescent="0.25">
      <c r="A21" s="1" t="s">
        <v>14</v>
      </c>
      <c r="B21">
        <v>124.994</v>
      </c>
      <c r="C21">
        <v>160.55699999999999</v>
      </c>
      <c r="D21">
        <v>3.1949999999999998</v>
      </c>
      <c r="E21">
        <v>2.427</v>
      </c>
      <c r="F21">
        <v>2.7959999999999998</v>
      </c>
      <c r="G21">
        <v>1.0840000000000001</v>
      </c>
      <c r="H21">
        <v>3.6110000000000002</v>
      </c>
      <c r="I21">
        <v>2.1829999999999998</v>
      </c>
    </row>
    <row r="25" spans="1:9" x14ac:dyDescent="0.25">
      <c r="A25" s="31" t="s">
        <v>21</v>
      </c>
      <c r="B25" s="31"/>
      <c r="C25" s="31"/>
      <c r="D25" s="31"/>
      <c r="E25" s="31"/>
      <c r="F25" s="31"/>
      <c r="G25" s="31"/>
    </row>
    <row r="26" spans="1:9" x14ac:dyDescent="0.25">
      <c r="A26" s="38" t="s">
        <v>15</v>
      </c>
      <c r="B26" s="32"/>
      <c r="C26" s="32"/>
      <c r="D26" s="32"/>
      <c r="E26" s="32"/>
      <c r="F26" s="32"/>
      <c r="G26" s="39"/>
    </row>
    <row r="27" spans="1:9" ht="60" x14ac:dyDescent="0.25">
      <c r="A27" s="5"/>
      <c r="B27" s="1" t="s">
        <v>6</v>
      </c>
      <c r="C27" s="4" t="s">
        <v>7</v>
      </c>
      <c r="D27" s="1" t="s">
        <v>8</v>
      </c>
      <c r="E27" s="4" t="s">
        <v>9</v>
      </c>
      <c r="F27" s="1" t="s">
        <v>1</v>
      </c>
      <c r="G27" s="1" t="s">
        <v>0</v>
      </c>
      <c r="H27" s="10" t="s">
        <v>24</v>
      </c>
      <c r="I27" s="11" t="s">
        <v>25</v>
      </c>
    </row>
    <row r="28" spans="1:9" x14ac:dyDescent="0.25">
      <c r="A28" s="1" t="s">
        <v>10</v>
      </c>
      <c r="B28">
        <v>82.251000000000005</v>
      </c>
      <c r="C28">
        <v>76.346999999999994</v>
      </c>
      <c r="D28">
        <v>5.5640000000000001</v>
      </c>
      <c r="E28">
        <v>1.954</v>
      </c>
      <c r="F28">
        <v>1.9410000000000001</v>
      </c>
      <c r="G28">
        <v>0.77500000000000002</v>
      </c>
      <c r="H28">
        <v>3.552</v>
      </c>
      <c r="I28">
        <v>2.1509999999999998</v>
      </c>
    </row>
    <row r="29" spans="1:9" x14ac:dyDescent="0.25">
      <c r="A29" s="1" t="s">
        <v>11</v>
      </c>
      <c r="B29">
        <v>70.332999999999998</v>
      </c>
      <c r="C29">
        <v>67.631</v>
      </c>
      <c r="D29">
        <v>9.0960000000000001</v>
      </c>
      <c r="E29">
        <v>1.536</v>
      </c>
      <c r="F29">
        <v>2.2949999999999999</v>
      </c>
      <c r="G29">
        <v>0.998</v>
      </c>
      <c r="H29">
        <v>3.609</v>
      </c>
      <c r="I29">
        <v>2.3460000000000001</v>
      </c>
    </row>
    <row r="30" spans="1:9" x14ac:dyDescent="0.25">
      <c r="A30" s="1" t="s">
        <v>12</v>
      </c>
      <c r="B30">
        <v>77.191999999999993</v>
      </c>
      <c r="C30">
        <v>78.596000000000004</v>
      </c>
      <c r="D30">
        <v>2.528</v>
      </c>
      <c r="E30">
        <v>1.4570000000000001</v>
      </c>
      <c r="F30">
        <v>2.3340000000000001</v>
      </c>
      <c r="G30">
        <v>1.252</v>
      </c>
      <c r="H30">
        <v>3.5059999999999998</v>
      </c>
      <c r="I30">
        <v>2.1219999999999999</v>
      </c>
    </row>
    <row r="31" spans="1:9" x14ac:dyDescent="0.25">
      <c r="A31" s="1" t="s">
        <v>13</v>
      </c>
      <c r="B31">
        <v>70.548000000000002</v>
      </c>
      <c r="C31">
        <v>74.162999999999997</v>
      </c>
      <c r="D31">
        <v>3.0609999999999999</v>
      </c>
      <c r="E31">
        <v>1.4830000000000001</v>
      </c>
      <c r="F31">
        <v>2.2160000000000002</v>
      </c>
      <c r="G31">
        <v>1.1120000000000001</v>
      </c>
      <c r="H31">
        <v>3.633</v>
      </c>
      <c r="I31">
        <v>2.1960000000000002</v>
      </c>
    </row>
    <row r="32" spans="1:9" x14ac:dyDescent="0.25">
      <c r="A32" s="1" t="s">
        <v>14</v>
      </c>
      <c r="B32">
        <v>68.435000000000002</v>
      </c>
      <c r="C32">
        <v>72.037000000000006</v>
      </c>
      <c r="D32">
        <v>5.5010000000000003</v>
      </c>
      <c r="E32">
        <v>1.589</v>
      </c>
      <c r="F32">
        <v>2.6560000000000001</v>
      </c>
      <c r="G32">
        <v>1.0840000000000001</v>
      </c>
      <c r="H32">
        <v>3.5019999999999998</v>
      </c>
      <c r="I32">
        <v>2.1829999999999998</v>
      </c>
    </row>
    <row r="36" spans="1:9" x14ac:dyDescent="0.25">
      <c r="A36" s="31" t="s">
        <v>22</v>
      </c>
      <c r="B36" s="31"/>
      <c r="C36" s="31"/>
      <c r="D36" s="31"/>
      <c r="E36" s="31"/>
      <c r="F36" s="31"/>
      <c r="G36" s="31"/>
    </row>
    <row r="37" spans="1:9" x14ac:dyDescent="0.25">
      <c r="A37" s="38" t="s">
        <v>15</v>
      </c>
      <c r="B37" s="32"/>
      <c r="C37" s="32"/>
      <c r="D37" s="32"/>
      <c r="E37" s="32"/>
      <c r="F37" s="32"/>
      <c r="G37" s="39"/>
    </row>
    <row r="38" spans="1:9" ht="60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49.95</v>
      </c>
      <c r="C39">
        <v>48.164000000000001</v>
      </c>
      <c r="D39">
        <v>5.0270000000000001</v>
      </c>
      <c r="E39">
        <v>1.3049999999999999</v>
      </c>
      <c r="F39">
        <v>1.847</v>
      </c>
      <c r="G39">
        <v>0.77500000000000002</v>
      </c>
      <c r="H39">
        <v>2.9380000000000002</v>
      </c>
      <c r="I39">
        <v>2.992</v>
      </c>
    </row>
    <row r="40" spans="1:9" x14ac:dyDescent="0.25">
      <c r="A40" s="1" t="s">
        <v>11</v>
      </c>
      <c r="B40">
        <v>48.927</v>
      </c>
      <c r="C40">
        <v>50.220999999999997</v>
      </c>
      <c r="D40">
        <v>2.242</v>
      </c>
      <c r="E40">
        <v>1.33</v>
      </c>
      <c r="F40">
        <v>2.2999999999999998</v>
      </c>
      <c r="G40">
        <v>0.998</v>
      </c>
      <c r="H40">
        <v>3.89</v>
      </c>
      <c r="I40">
        <v>3.0870000000000002</v>
      </c>
    </row>
    <row r="41" spans="1:9" x14ac:dyDescent="0.25">
      <c r="A41" s="1" t="s">
        <v>12</v>
      </c>
      <c r="B41">
        <v>50.481999999999999</v>
      </c>
      <c r="C41">
        <v>49.325000000000003</v>
      </c>
      <c r="D41">
        <v>4.2190000000000003</v>
      </c>
      <c r="E41">
        <v>1.22</v>
      </c>
      <c r="F41">
        <v>2.1579999999999999</v>
      </c>
      <c r="G41">
        <v>1.252</v>
      </c>
      <c r="H41">
        <v>3.1549999999999998</v>
      </c>
      <c r="I41">
        <v>3.363</v>
      </c>
    </row>
    <row r="42" spans="1:9" x14ac:dyDescent="0.25">
      <c r="A42" s="1" t="s">
        <v>13</v>
      </c>
      <c r="B42">
        <v>48.966999999999999</v>
      </c>
      <c r="C42">
        <v>46.488999999999997</v>
      </c>
      <c r="D42">
        <v>6.5289999999999999</v>
      </c>
      <c r="E42">
        <v>1.679</v>
      </c>
      <c r="F42">
        <v>2.0579999999999998</v>
      </c>
      <c r="G42">
        <v>1.1120000000000001</v>
      </c>
      <c r="H42">
        <v>3</v>
      </c>
      <c r="I42">
        <v>3.0230000000000001</v>
      </c>
    </row>
    <row r="43" spans="1:9" x14ac:dyDescent="0.25">
      <c r="A43" s="1" t="s">
        <v>14</v>
      </c>
      <c r="B43">
        <v>48.271999999999998</v>
      </c>
      <c r="C43">
        <v>47.212000000000003</v>
      </c>
      <c r="D43">
        <v>3.621</v>
      </c>
      <c r="E43">
        <v>1.419</v>
      </c>
      <c r="F43">
        <v>2.4239999999999999</v>
      </c>
      <c r="G43">
        <v>1.0840000000000001</v>
      </c>
      <c r="H43">
        <v>3.133</v>
      </c>
      <c r="I43">
        <v>3.2570000000000001</v>
      </c>
    </row>
    <row r="50" spans="1:9" x14ac:dyDescent="0.25">
      <c r="A50" s="36" t="s">
        <v>17</v>
      </c>
      <c r="B50" s="36"/>
      <c r="C50" s="36"/>
      <c r="D50" s="36"/>
      <c r="E50" s="36"/>
      <c r="F50" s="36"/>
      <c r="G50" s="36"/>
    </row>
    <row r="51" spans="1:9" ht="60" x14ac:dyDescent="0.25">
      <c r="A51" s="3"/>
      <c r="B51" s="1" t="s">
        <v>6</v>
      </c>
      <c r="C51" s="4" t="s">
        <v>7</v>
      </c>
      <c r="D51" s="1" t="s">
        <v>8</v>
      </c>
      <c r="E51" s="4" t="s">
        <v>9</v>
      </c>
      <c r="F51" s="1" t="s">
        <v>1</v>
      </c>
      <c r="G51" s="1" t="s">
        <v>0</v>
      </c>
      <c r="H51" s="10" t="s">
        <v>28</v>
      </c>
      <c r="I51" s="11" t="s">
        <v>27</v>
      </c>
    </row>
    <row r="52" spans="1:9" x14ac:dyDescent="0.25">
      <c r="A52" s="7">
        <v>0.15</v>
      </c>
      <c r="B52">
        <f t="shared" ref="B52:G52" si="0">AVERAGE(B5:B9)</f>
        <v>91.754599999999996</v>
      </c>
      <c r="C52">
        <f t="shared" si="0"/>
        <v>84.063200000000009</v>
      </c>
      <c r="D52">
        <f t="shared" si="0"/>
        <v>3.1605999999999996</v>
      </c>
      <c r="E52">
        <f t="shared" si="0"/>
        <v>2.1703999999999999</v>
      </c>
      <c r="F52">
        <f t="shared" si="0"/>
        <v>2.0771999999999999</v>
      </c>
      <c r="G52">
        <f t="shared" si="0"/>
        <v>1.0442</v>
      </c>
      <c r="H52">
        <f>AVERAGE(H5:H9)</f>
        <v>3.7113999999999998</v>
      </c>
      <c r="I52">
        <f>AVERAGE(I5:I9)</f>
        <v>2.2378</v>
      </c>
    </row>
    <row r="53" spans="1:9" x14ac:dyDescent="0.25">
      <c r="A53" s="8">
        <v>0.35</v>
      </c>
      <c r="B53">
        <f t="shared" ref="B53:G53" si="1">AVERAGE(B17:B21)</f>
        <v>132.321</v>
      </c>
      <c r="C53">
        <f t="shared" si="1"/>
        <v>150.34780000000001</v>
      </c>
      <c r="D53">
        <f t="shared" si="1"/>
        <v>3.1295999999999999</v>
      </c>
      <c r="E53">
        <f t="shared" si="1"/>
        <v>1.7662</v>
      </c>
      <c r="F53">
        <f t="shared" si="1"/>
        <v>2.3489999999999998</v>
      </c>
      <c r="G53">
        <f t="shared" si="1"/>
        <v>1.0442</v>
      </c>
      <c r="H53">
        <f>AVERAGE(H17:H21)</f>
        <v>3.5178000000000003</v>
      </c>
      <c r="I53">
        <f>AVERAGE(I17:I21)</f>
        <v>2.1887999999999996</v>
      </c>
    </row>
    <row r="54" spans="1:9" x14ac:dyDescent="0.25">
      <c r="A54" s="8">
        <v>0.55000000000000004</v>
      </c>
      <c r="B54">
        <f t="shared" ref="B54:G54" si="2">AVERAGE(B28:B32)</f>
        <v>73.751800000000003</v>
      </c>
      <c r="C54">
        <f t="shared" si="2"/>
        <v>73.754800000000003</v>
      </c>
      <c r="D54">
        <f t="shared" si="2"/>
        <v>5.15</v>
      </c>
      <c r="E54">
        <f t="shared" si="2"/>
        <v>1.6038000000000001</v>
      </c>
      <c r="F54">
        <f t="shared" si="2"/>
        <v>2.2884000000000002</v>
      </c>
      <c r="G54">
        <f t="shared" si="2"/>
        <v>1.0442</v>
      </c>
      <c r="H54">
        <f>AVERAGE(H28:H32)</f>
        <v>3.5604</v>
      </c>
      <c r="I54">
        <f>AVERAGE(I28:I32)</f>
        <v>2.1995999999999998</v>
      </c>
    </row>
    <row r="55" spans="1:9" x14ac:dyDescent="0.25">
      <c r="A55" s="8">
        <v>0.7</v>
      </c>
      <c r="B55">
        <f>AVERAGE(B39:B43)</f>
        <v>49.319600000000001</v>
      </c>
      <c r="C55">
        <f t="shared" ref="C55:G55" si="3">AVERAGE(C39:C43)</f>
        <v>48.282200000000003</v>
      </c>
      <c r="D55">
        <f t="shared" si="3"/>
        <v>4.3275999999999994</v>
      </c>
      <c r="E55">
        <f t="shared" si="3"/>
        <v>1.3905999999999998</v>
      </c>
      <c r="F55">
        <f t="shared" si="3"/>
        <v>2.1574</v>
      </c>
      <c r="G55">
        <f t="shared" si="3"/>
        <v>1.0442</v>
      </c>
      <c r="H55">
        <f>AVERAGE(H39:H43)</f>
        <v>3.2231999999999998</v>
      </c>
      <c r="I55">
        <f>AVERAGE(I39:I43)</f>
        <v>3.1444000000000001</v>
      </c>
    </row>
  </sheetData>
  <mergeCells count="9">
    <mergeCell ref="A50:G50"/>
    <mergeCell ref="A36:G36"/>
    <mergeCell ref="A37:G37"/>
    <mergeCell ref="A2:G2"/>
    <mergeCell ref="A3:G3"/>
    <mergeCell ref="A14:G14"/>
    <mergeCell ref="A15:G15"/>
    <mergeCell ref="A25:G25"/>
    <mergeCell ref="A26:G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B4" zoomScale="70" zoomScaleNormal="70" workbookViewId="0">
      <selection activeCell="L120" sqref="L120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1" t="s">
        <v>19</v>
      </c>
      <c r="B1" s="31"/>
      <c r="C1" s="31"/>
      <c r="D1" s="31"/>
      <c r="E1" s="31"/>
      <c r="F1" s="31"/>
      <c r="G1" s="31"/>
    </row>
    <row r="2" spans="1:9" x14ac:dyDescent="0.25">
      <c r="A2" s="30" t="s">
        <v>16</v>
      </c>
      <c r="B2" s="30"/>
      <c r="C2" s="30"/>
      <c r="D2" s="30"/>
      <c r="E2" s="30"/>
      <c r="F2" s="30"/>
      <c r="G2" s="30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E4">
        <v>0</v>
      </c>
      <c r="F4">
        <v>0.26400000000000001</v>
      </c>
      <c r="G4">
        <v>0.26700000000000002</v>
      </c>
      <c r="H4">
        <v>0</v>
      </c>
      <c r="I4">
        <v>2.8400000000000002E-2</v>
      </c>
    </row>
    <row r="5" spans="1:9" x14ac:dyDescent="0.25">
      <c r="A5" s="1" t="s">
        <v>11</v>
      </c>
      <c r="B5">
        <v>0</v>
      </c>
      <c r="C5">
        <v>0</v>
      </c>
      <c r="D5">
        <v>0</v>
      </c>
      <c r="E5">
        <v>0</v>
      </c>
      <c r="F5">
        <v>0.2586</v>
      </c>
      <c r="G5">
        <v>0.248</v>
      </c>
      <c r="H5">
        <v>0</v>
      </c>
      <c r="I5">
        <v>3.9079999999999997E-2</v>
      </c>
    </row>
    <row r="6" spans="1:9" x14ac:dyDescent="0.25">
      <c r="A6" s="1" t="s">
        <v>12</v>
      </c>
      <c r="B6">
        <v>0</v>
      </c>
      <c r="C6">
        <v>0</v>
      </c>
      <c r="D6">
        <v>0</v>
      </c>
      <c r="E6">
        <v>0</v>
      </c>
      <c r="F6">
        <v>0.26500000000000001</v>
      </c>
      <c r="G6">
        <v>0.247</v>
      </c>
      <c r="H6">
        <v>0</v>
      </c>
      <c r="I6">
        <v>2.5999999999999999E-2</v>
      </c>
    </row>
    <row r="7" spans="1:9" x14ac:dyDescent="0.25">
      <c r="A7" s="1" t="s">
        <v>13</v>
      </c>
      <c r="B7">
        <v>0</v>
      </c>
      <c r="C7">
        <v>0</v>
      </c>
      <c r="D7">
        <v>0</v>
      </c>
      <c r="E7">
        <v>0</v>
      </c>
      <c r="F7">
        <v>0.25900000000000001</v>
      </c>
      <c r="G7">
        <v>0.247</v>
      </c>
      <c r="H7">
        <v>0</v>
      </c>
      <c r="I7">
        <v>2.87E-2</v>
      </c>
    </row>
    <row r="8" spans="1:9" x14ac:dyDescent="0.25">
      <c r="A8" s="1" t="s">
        <v>14</v>
      </c>
      <c r="B8">
        <v>0</v>
      </c>
      <c r="C8">
        <v>0</v>
      </c>
      <c r="D8">
        <v>0</v>
      </c>
      <c r="E8">
        <v>0</v>
      </c>
      <c r="F8">
        <v>0.26100000000000001</v>
      </c>
      <c r="G8">
        <v>0.247</v>
      </c>
      <c r="H8">
        <v>0</v>
      </c>
      <c r="I8">
        <v>3.3059999999999999E-2</v>
      </c>
    </row>
    <row r="10" spans="1:9" x14ac:dyDescent="0.25">
      <c r="A10" s="40" t="s">
        <v>3</v>
      </c>
      <c r="B10" s="40"/>
      <c r="C10" s="40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0.29070000000000001</v>
      </c>
      <c r="C12" s="2">
        <v>0.28766999999999998</v>
      </c>
      <c r="D12" s="12">
        <v>0</v>
      </c>
      <c r="E12" s="2">
        <v>2.4799999999999999E-2</v>
      </c>
    </row>
    <row r="13" spans="1:9" x14ac:dyDescent="0.25">
      <c r="A13" s="1" t="s">
        <v>11</v>
      </c>
      <c r="B13" s="2">
        <v>0.27074300000000001</v>
      </c>
      <c r="C13" s="2">
        <v>0.28753000000000001</v>
      </c>
      <c r="D13" s="12">
        <v>0</v>
      </c>
      <c r="E13" s="2">
        <v>3.7949999999999998E-2</v>
      </c>
    </row>
    <row r="14" spans="1:9" x14ac:dyDescent="0.25">
      <c r="A14" s="1" t="s">
        <v>12</v>
      </c>
      <c r="B14" s="2">
        <v>0.26928999999999997</v>
      </c>
      <c r="C14" s="2">
        <v>0.28239999999999998</v>
      </c>
      <c r="D14" s="12">
        <v>0</v>
      </c>
      <c r="E14" s="2">
        <v>3.1212239999999999E-2</v>
      </c>
    </row>
    <row r="15" spans="1:9" x14ac:dyDescent="0.25">
      <c r="A15" s="1" t="s">
        <v>13</v>
      </c>
      <c r="B15" s="2">
        <v>0.26923000000000002</v>
      </c>
      <c r="C15" s="2">
        <v>0.28449999999999998</v>
      </c>
      <c r="D15" s="12">
        <v>0</v>
      </c>
      <c r="E15" s="2">
        <v>2.7404999999999999E-2</v>
      </c>
    </row>
    <row r="16" spans="1:9" x14ac:dyDescent="0.25">
      <c r="A16" s="1" t="s">
        <v>14</v>
      </c>
      <c r="B16" s="2">
        <v>0.26934999999999998</v>
      </c>
      <c r="C16" s="2">
        <v>0.30046</v>
      </c>
      <c r="D16" s="12">
        <v>0</v>
      </c>
      <c r="E16" s="2">
        <v>2.8614000000000001E-2</v>
      </c>
    </row>
    <row r="17" spans="1:9" x14ac:dyDescent="0.25">
      <c r="E17" s="2"/>
    </row>
    <row r="21" spans="1:9" x14ac:dyDescent="0.25">
      <c r="A21" s="31" t="s">
        <v>20</v>
      </c>
      <c r="B21" s="31"/>
      <c r="C21" s="31"/>
      <c r="D21" s="31"/>
      <c r="E21" s="31"/>
      <c r="F21" s="31"/>
      <c r="G21" s="31"/>
    </row>
    <row r="22" spans="1:9" x14ac:dyDescent="0.25">
      <c r="A22" s="30" t="s">
        <v>16</v>
      </c>
      <c r="B22" s="30"/>
      <c r="C22" s="30"/>
      <c r="D22" s="30"/>
      <c r="E22" s="30"/>
      <c r="F22" s="30"/>
      <c r="G22" s="30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D24">
        <v>0</v>
      </c>
      <c r="E24">
        <v>0</v>
      </c>
      <c r="F24">
        <v>0.25700000000000001</v>
      </c>
      <c r="G24">
        <v>0.26700000000000002</v>
      </c>
      <c r="H24">
        <v>0</v>
      </c>
      <c r="I24">
        <v>2.2290000000000001E-2</v>
      </c>
    </row>
    <row r="25" spans="1:9" x14ac:dyDescent="0.25">
      <c r="A25" s="1" t="s">
        <v>11</v>
      </c>
      <c r="B25">
        <v>0</v>
      </c>
      <c r="C25">
        <v>0</v>
      </c>
      <c r="D25">
        <v>0</v>
      </c>
      <c r="E25">
        <v>0</v>
      </c>
      <c r="F25">
        <v>0.26</v>
      </c>
      <c r="G25">
        <v>0.248</v>
      </c>
      <c r="H25">
        <v>0</v>
      </c>
      <c r="I25">
        <v>2.1700000000000001E-2</v>
      </c>
    </row>
    <row r="26" spans="1:9" x14ac:dyDescent="0.25">
      <c r="A26" s="1" t="s">
        <v>12</v>
      </c>
      <c r="B26">
        <v>0</v>
      </c>
      <c r="C26">
        <v>0</v>
      </c>
      <c r="D26">
        <v>0</v>
      </c>
      <c r="E26">
        <v>0</v>
      </c>
      <c r="F26">
        <v>0.26</v>
      </c>
      <c r="G26">
        <v>0.247</v>
      </c>
      <c r="H26">
        <v>0</v>
      </c>
      <c r="I26">
        <v>2.4299999999999999E-2</v>
      </c>
    </row>
    <row r="27" spans="1:9" x14ac:dyDescent="0.25">
      <c r="A27" s="1" t="s">
        <v>13</v>
      </c>
      <c r="B27">
        <v>0</v>
      </c>
      <c r="C27">
        <v>0</v>
      </c>
      <c r="D27">
        <v>0</v>
      </c>
      <c r="E27">
        <v>0</v>
      </c>
      <c r="F27">
        <v>0.25800000000000001</v>
      </c>
      <c r="G27">
        <v>0.247</v>
      </c>
      <c r="H27">
        <v>0</v>
      </c>
      <c r="I27">
        <v>3.8800000000000001E-2</v>
      </c>
    </row>
    <row r="28" spans="1:9" x14ac:dyDescent="0.25">
      <c r="A28" s="1" t="s">
        <v>14</v>
      </c>
      <c r="B28">
        <v>0</v>
      </c>
      <c r="C28">
        <v>0</v>
      </c>
      <c r="D28">
        <v>0</v>
      </c>
      <c r="E28">
        <v>0</v>
      </c>
      <c r="F28">
        <v>0.255</v>
      </c>
      <c r="G28">
        <v>0.247</v>
      </c>
      <c r="H28">
        <v>0</v>
      </c>
      <c r="I28">
        <v>2.06E-2</v>
      </c>
    </row>
    <row r="30" spans="1:9" x14ac:dyDescent="0.25">
      <c r="A30" s="40" t="s">
        <v>3</v>
      </c>
      <c r="B30" s="40"/>
      <c r="C30" s="40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0.29070000000000001</v>
      </c>
      <c r="C32" s="2">
        <v>0.28333999999999998</v>
      </c>
      <c r="D32" s="2">
        <v>0</v>
      </c>
      <c r="E32" s="2">
        <v>1.8509999999999999E-2</v>
      </c>
    </row>
    <row r="33" spans="1:9" x14ac:dyDescent="0.25">
      <c r="A33" s="1" t="s">
        <v>11</v>
      </c>
      <c r="B33" s="2">
        <v>0.27074300000000001</v>
      </c>
      <c r="C33" s="2">
        <v>0.29216999999999999</v>
      </c>
      <c r="D33" s="2">
        <v>0</v>
      </c>
      <c r="E33" s="2">
        <v>2.0149E-2</v>
      </c>
    </row>
    <row r="34" spans="1:9" x14ac:dyDescent="0.25">
      <c r="A34" s="1" t="s">
        <v>12</v>
      </c>
      <c r="B34" s="2">
        <v>0.26928999999999997</v>
      </c>
      <c r="C34" s="2">
        <v>0.28372999999999998</v>
      </c>
      <c r="D34" s="2">
        <v>0</v>
      </c>
      <c r="E34" s="2">
        <v>2.0539000000000002E-2</v>
      </c>
    </row>
    <row r="35" spans="1:9" x14ac:dyDescent="0.25">
      <c r="A35" s="1" t="s">
        <v>13</v>
      </c>
      <c r="B35" s="2">
        <v>0.26923000000000002</v>
      </c>
      <c r="C35" s="2">
        <v>0.28162999999999999</v>
      </c>
      <c r="D35" s="2">
        <v>0</v>
      </c>
      <c r="E35" s="2">
        <v>3.39E-2</v>
      </c>
    </row>
    <row r="36" spans="1:9" x14ac:dyDescent="0.25">
      <c r="A36" s="1" t="s">
        <v>14</v>
      </c>
      <c r="B36" s="2">
        <v>0.26934999999999998</v>
      </c>
      <c r="C36" s="2">
        <v>0.27804000000000001</v>
      </c>
      <c r="D36" s="2">
        <v>0</v>
      </c>
      <c r="E36" s="2">
        <v>2.5659999999999999E-2</v>
      </c>
    </row>
    <row r="40" spans="1:9" x14ac:dyDescent="0.25">
      <c r="A40" s="31" t="s">
        <v>21</v>
      </c>
      <c r="B40" s="31"/>
      <c r="C40" s="31"/>
      <c r="D40" s="31"/>
      <c r="E40" s="31"/>
      <c r="F40" s="31"/>
      <c r="G40" s="31"/>
    </row>
    <row r="41" spans="1:9" x14ac:dyDescent="0.25">
      <c r="A41" s="30" t="s">
        <v>16</v>
      </c>
      <c r="B41" s="30"/>
      <c r="C41" s="30"/>
      <c r="D41" s="30"/>
      <c r="E41" s="30"/>
      <c r="F41" s="30"/>
      <c r="G41" s="30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D43">
        <v>0</v>
      </c>
      <c r="E43">
        <v>0</v>
      </c>
      <c r="F43">
        <v>0.28499999999999998</v>
      </c>
      <c r="G43">
        <v>0.26700000000000002</v>
      </c>
      <c r="H43">
        <v>0</v>
      </c>
      <c r="I43">
        <v>1.9199999999999998E-2</v>
      </c>
    </row>
    <row r="44" spans="1:9" x14ac:dyDescent="0.25">
      <c r="A44" s="1" t="s">
        <v>11</v>
      </c>
      <c r="B44">
        <v>0</v>
      </c>
      <c r="C44">
        <v>0</v>
      </c>
      <c r="D44">
        <v>0</v>
      </c>
      <c r="E44">
        <v>0</v>
      </c>
      <c r="F44">
        <v>0.26200000000000001</v>
      </c>
      <c r="G44">
        <v>0.248</v>
      </c>
      <c r="H44">
        <v>0</v>
      </c>
      <c r="I44">
        <v>1.9800000000000002E-2</v>
      </c>
    </row>
    <row r="45" spans="1:9" x14ac:dyDescent="0.25">
      <c r="A45" s="1" t="s">
        <v>12</v>
      </c>
      <c r="B45">
        <v>0</v>
      </c>
      <c r="C45">
        <v>0</v>
      </c>
      <c r="D45">
        <v>0</v>
      </c>
      <c r="E45">
        <v>0</v>
      </c>
      <c r="F45">
        <v>0.253</v>
      </c>
      <c r="G45">
        <v>0.247</v>
      </c>
      <c r="H45">
        <v>0</v>
      </c>
      <c r="I45">
        <v>2.9729999999999999E-2</v>
      </c>
    </row>
    <row r="46" spans="1:9" x14ac:dyDescent="0.25">
      <c r="A46" s="1" t="s">
        <v>13</v>
      </c>
      <c r="B46">
        <v>0</v>
      </c>
      <c r="C46">
        <v>0</v>
      </c>
      <c r="D46">
        <v>0</v>
      </c>
      <c r="E46">
        <v>0</v>
      </c>
      <c r="F46">
        <v>2.5299999999999998</v>
      </c>
      <c r="G46">
        <v>0.247</v>
      </c>
      <c r="H46">
        <v>0</v>
      </c>
      <c r="I46">
        <v>2.4799999999999999E-2</v>
      </c>
    </row>
    <row r="47" spans="1:9" x14ac:dyDescent="0.25">
      <c r="A47" s="1" t="s">
        <v>14</v>
      </c>
      <c r="B47">
        <v>0</v>
      </c>
      <c r="C47">
        <v>0</v>
      </c>
      <c r="D47">
        <v>0</v>
      </c>
      <c r="E47">
        <v>0</v>
      </c>
      <c r="F47">
        <v>0.26200000000000001</v>
      </c>
      <c r="G47">
        <v>0.247</v>
      </c>
      <c r="H47">
        <v>0</v>
      </c>
      <c r="I47">
        <v>2.3449999999999999E-2</v>
      </c>
    </row>
    <row r="49" spans="1:9" x14ac:dyDescent="0.25">
      <c r="A49" s="40" t="s">
        <v>3</v>
      </c>
      <c r="B49" s="40"/>
      <c r="C49" s="40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0.29070000000000001</v>
      </c>
      <c r="C51" s="2">
        <v>0.28673999999999999</v>
      </c>
      <c r="D51" s="12">
        <v>0</v>
      </c>
      <c r="E51" s="12">
        <v>1.6140000000000002E-2</v>
      </c>
    </row>
    <row r="52" spans="1:9" x14ac:dyDescent="0.25">
      <c r="A52" s="1" t="s">
        <v>11</v>
      </c>
      <c r="B52" s="2">
        <v>0.27074300000000001</v>
      </c>
      <c r="C52" s="2">
        <v>0.28569</v>
      </c>
      <c r="D52" s="12">
        <v>0</v>
      </c>
      <c r="E52" s="12">
        <v>3.3369999999999997E-2</v>
      </c>
    </row>
    <row r="53" spans="1:9" x14ac:dyDescent="0.25">
      <c r="A53" s="1" t="s">
        <v>12</v>
      </c>
      <c r="B53" s="2">
        <v>0.26928999999999997</v>
      </c>
      <c r="C53" s="2">
        <v>0.27600000000000002</v>
      </c>
      <c r="D53" s="12">
        <v>0</v>
      </c>
      <c r="E53" s="12">
        <v>2.1151E-2</v>
      </c>
    </row>
    <row r="54" spans="1:9" x14ac:dyDescent="0.25">
      <c r="A54" s="1" t="s">
        <v>13</v>
      </c>
      <c r="B54" s="2">
        <v>0.26923000000000002</v>
      </c>
      <c r="C54" s="2">
        <v>0.27554000000000001</v>
      </c>
      <c r="D54" s="12">
        <v>0</v>
      </c>
      <c r="E54" s="12">
        <v>2.6676999999999999E-2</v>
      </c>
    </row>
    <row r="55" spans="1:9" x14ac:dyDescent="0.25">
      <c r="A55" s="1" t="s">
        <v>14</v>
      </c>
      <c r="B55" s="2">
        <v>0.26934999999999998</v>
      </c>
      <c r="C55" s="2">
        <v>0.28581000000000001</v>
      </c>
      <c r="D55" s="12">
        <v>0</v>
      </c>
      <c r="E55" s="12">
        <v>2.8266199999999998E-2</v>
      </c>
    </row>
    <row r="59" spans="1:9" x14ac:dyDescent="0.25">
      <c r="A59" s="31" t="s">
        <v>22</v>
      </c>
      <c r="B59" s="31"/>
      <c r="C59" s="31"/>
      <c r="D59" s="31"/>
      <c r="E59" s="31"/>
      <c r="F59" s="31"/>
      <c r="G59" s="31"/>
    </row>
    <row r="60" spans="1:9" x14ac:dyDescent="0.25">
      <c r="A60" s="30" t="s">
        <v>16</v>
      </c>
      <c r="B60" s="30"/>
      <c r="C60" s="30"/>
      <c r="D60" s="30"/>
      <c r="E60" s="30"/>
      <c r="F60" s="30"/>
      <c r="G60" s="30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B62">
        <v>0</v>
      </c>
      <c r="C62">
        <v>0</v>
      </c>
      <c r="D62">
        <v>0</v>
      </c>
      <c r="E62">
        <v>0</v>
      </c>
      <c r="F62">
        <v>0.25700000000000001</v>
      </c>
      <c r="G62">
        <v>0.26700000000000002</v>
      </c>
      <c r="H62">
        <v>0</v>
      </c>
      <c r="I62">
        <v>1.038E-2</v>
      </c>
    </row>
    <row r="63" spans="1:9" x14ac:dyDescent="0.25">
      <c r="A63" s="1" t="s">
        <v>11</v>
      </c>
      <c r="B63">
        <v>0</v>
      </c>
      <c r="C63">
        <v>0</v>
      </c>
      <c r="D63">
        <v>0</v>
      </c>
      <c r="E63">
        <v>0</v>
      </c>
      <c r="F63">
        <v>0.25800000000000001</v>
      </c>
      <c r="G63">
        <v>0.248</v>
      </c>
      <c r="H63">
        <v>0</v>
      </c>
      <c r="I63">
        <v>1.7899999999999999E-2</v>
      </c>
    </row>
    <row r="64" spans="1:9" x14ac:dyDescent="0.25">
      <c r="A64" s="1" t="s">
        <v>12</v>
      </c>
      <c r="B64">
        <v>0</v>
      </c>
      <c r="C64">
        <v>0</v>
      </c>
      <c r="D64">
        <v>0</v>
      </c>
      <c r="E64">
        <v>0</v>
      </c>
      <c r="F64">
        <v>0.26200000000000001</v>
      </c>
      <c r="G64">
        <v>0.247</v>
      </c>
      <c r="H64">
        <v>0</v>
      </c>
      <c r="I64">
        <v>2.46E-2</v>
      </c>
    </row>
    <row r="65" spans="1:9" x14ac:dyDescent="0.25">
      <c r="A65" s="1" t="s">
        <v>13</v>
      </c>
      <c r="B65">
        <v>0</v>
      </c>
      <c r="C65">
        <v>0</v>
      </c>
      <c r="D65">
        <v>0</v>
      </c>
      <c r="E65">
        <v>0</v>
      </c>
      <c r="F65">
        <v>0.254</v>
      </c>
      <c r="G65">
        <v>0.247</v>
      </c>
      <c r="H65">
        <v>0</v>
      </c>
      <c r="I65">
        <v>2.3300000000000001E-2</v>
      </c>
    </row>
    <row r="66" spans="1:9" x14ac:dyDescent="0.25">
      <c r="A66" s="1" t="s">
        <v>14</v>
      </c>
      <c r="B66">
        <v>0</v>
      </c>
      <c r="C66">
        <v>0</v>
      </c>
      <c r="D66">
        <v>0</v>
      </c>
      <c r="E66">
        <v>0</v>
      </c>
      <c r="F66">
        <v>0.26100000000000001</v>
      </c>
      <c r="G66">
        <v>0.247</v>
      </c>
      <c r="H66">
        <v>0</v>
      </c>
      <c r="I66">
        <v>2.1010000000000001E-2</v>
      </c>
    </row>
    <row r="68" spans="1:9" x14ac:dyDescent="0.25">
      <c r="A68" s="40" t="s">
        <v>3</v>
      </c>
      <c r="B68" s="40"/>
      <c r="C68" s="40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0.28077999999999997</v>
      </c>
      <c r="D70" s="2">
        <v>0</v>
      </c>
      <c r="E70" s="2">
        <v>5.8440000000000006E-2</v>
      </c>
    </row>
    <row r="71" spans="1:9" x14ac:dyDescent="0.25">
      <c r="A71" s="1" t="s">
        <v>11</v>
      </c>
      <c r="B71" s="2">
        <v>0.31176999999999999</v>
      </c>
      <c r="C71" s="2">
        <v>0.28178999999999998</v>
      </c>
      <c r="D71" s="2">
        <v>0</v>
      </c>
      <c r="E71" s="2">
        <v>5.6840000000000002E-2</v>
      </c>
    </row>
    <row r="72" spans="1:9" x14ac:dyDescent="0.25">
      <c r="A72" s="1" t="s">
        <v>12</v>
      </c>
      <c r="B72" s="2">
        <v>0.30499999999999999</v>
      </c>
      <c r="C72" s="2">
        <v>0.28534999999999999</v>
      </c>
      <c r="D72" s="2">
        <v>0</v>
      </c>
      <c r="E72" s="2">
        <v>0.10604</v>
      </c>
    </row>
    <row r="73" spans="1:9" x14ac:dyDescent="0.25">
      <c r="A73" s="1" t="s">
        <v>13</v>
      </c>
      <c r="B73" s="2">
        <v>0.30619000000000002</v>
      </c>
      <c r="C73" s="2">
        <v>0.27648</v>
      </c>
      <c r="D73" s="2">
        <v>0</v>
      </c>
      <c r="E73" s="2">
        <v>5.8834999999999998E-2</v>
      </c>
    </row>
    <row r="74" spans="1:9" x14ac:dyDescent="0.25">
      <c r="A74" s="1" t="s">
        <v>14</v>
      </c>
      <c r="B74" s="2">
        <v>0.28906999999999999</v>
      </c>
      <c r="C74" s="2">
        <v>0.28399000000000002</v>
      </c>
      <c r="D74" s="2">
        <v>0</v>
      </c>
      <c r="E74" s="2">
        <v>0.110092</v>
      </c>
    </row>
    <row r="78" spans="1:9" x14ac:dyDescent="0.25">
      <c r="A78" s="36" t="s">
        <v>18</v>
      </c>
      <c r="B78" s="36"/>
      <c r="C78" s="36"/>
      <c r="D78" s="36"/>
      <c r="E78" s="36"/>
      <c r="F78" s="36"/>
      <c r="G78" s="36"/>
    </row>
    <row r="79" spans="1:9" x14ac:dyDescent="0.25">
      <c r="A79" s="30" t="s">
        <v>16</v>
      </c>
      <c r="B79" s="30"/>
      <c r="C79" s="30"/>
      <c r="D79" s="30"/>
      <c r="E79" s="30"/>
      <c r="F79" s="30"/>
      <c r="G79" s="30"/>
    </row>
    <row r="80" spans="1:9" x14ac:dyDescent="0.25">
      <c r="A80" s="6"/>
      <c r="B80" s="1" t="s">
        <v>1</v>
      </c>
      <c r="C80" s="1" t="s">
        <v>0</v>
      </c>
      <c r="D80" s="10" t="s">
        <v>28</v>
      </c>
      <c r="E80" s="11" t="s">
        <v>27</v>
      </c>
    </row>
    <row r="81" spans="1:5" x14ac:dyDescent="0.25">
      <c r="A81" s="7">
        <v>0.15</v>
      </c>
      <c r="B81" s="13">
        <f>AVERAGE(F4:F8)</f>
        <v>0.26151999999999997</v>
      </c>
      <c r="C81" s="13">
        <f>AVERAGE(G4:G8)</f>
        <v>0.25119999999999998</v>
      </c>
      <c r="D81" s="13">
        <f>AVERAGE(H4:H8)</f>
        <v>0</v>
      </c>
      <c r="E81" s="13">
        <f>AVERAGE(I4:I8)</f>
        <v>3.1047999999999999E-2</v>
      </c>
    </row>
    <row r="82" spans="1:5" x14ac:dyDescent="0.25">
      <c r="A82" s="8">
        <v>0.35</v>
      </c>
      <c r="B82" s="13">
        <f>AVERAGE(F24:F28)</f>
        <v>0.25800000000000001</v>
      </c>
      <c r="C82" s="13">
        <f>AVERAGE(G24:G28)</f>
        <v>0.25119999999999998</v>
      </c>
      <c r="D82" s="13">
        <f>AVERAGE(H24:H28)</f>
        <v>0</v>
      </c>
      <c r="E82" s="13">
        <f>AVERAGE(I24:I28)</f>
        <v>2.5537999999999998E-2</v>
      </c>
    </row>
    <row r="83" spans="1:5" x14ac:dyDescent="0.25">
      <c r="A83" s="8">
        <v>0.55000000000000004</v>
      </c>
      <c r="B83" s="13">
        <f>AVERAGE(F43:F47)</f>
        <v>0.71839999999999993</v>
      </c>
      <c r="C83" s="13">
        <f>AVERAGE(G43:G47)</f>
        <v>0.25119999999999998</v>
      </c>
      <c r="D83" s="13">
        <f>AVERAGE(H43:H47)</f>
        <v>0</v>
      </c>
      <c r="E83" s="13">
        <f>AVERAGE(I43:I47)</f>
        <v>2.3396E-2</v>
      </c>
    </row>
    <row r="84" spans="1:5" x14ac:dyDescent="0.25">
      <c r="A84" s="8">
        <v>0.7</v>
      </c>
      <c r="B84" s="13">
        <f>AVERAGE(F62:F66)</f>
        <v>0.25840000000000007</v>
      </c>
      <c r="C84" s="13">
        <f>AVERAGE(G62:G66)</f>
        <v>0.25119999999999998</v>
      </c>
      <c r="D84" s="13">
        <f>AVERAGE(H62:H66)</f>
        <v>0</v>
      </c>
      <c r="E84" s="13">
        <f>AVERAGE(I62:I66)</f>
        <v>1.9438E-2</v>
      </c>
    </row>
    <row r="90" spans="1:5" x14ac:dyDescent="0.25">
      <c r="A90" s="40" t="s">
        <v>3</v>
      </c>
      <c r="B90" s="40"/>
      <c r="C90" s="40"/>
    </row>
    <row r="91" spans="1:5" x14ac:dyDescent="0.25">
      <c r="B91" s="1" t="s">
        <v>0</v>
      </c>
      <c r="C91" s="1" t="s">
        <v>1</v>
      </c>
      <c r="D91" s="10" t="s">
        <v>28</v>
      </c>
      <c r="E91" s="11" t="s">
        <v>27</v>
      </c>
    </row>
    <row r="92" spans="1:5" x14ac:dyDescent="0.25">
      <c r="A92" s="7">
        <v>0.15</v>
      </c>
      <c r="B92" s="2">
        <f>AVERAGE(B12:B16)</f>
        <v>0.27386260000000001</v>
      </c>
      <c r="C92" s="2">
        <f>AVERAGE(C12:C16)</f>
        <v>0.28851199999999999</v>
      </c>
      <c r="D92">
        <v>0</v>
      </c>
      <c r="E92" s="2">
        <f>AVERAGE(E12:E16)</f>
        <v>2.9996248000000003E-2</v>
      </c>
    </row>
    <row r="93" spans="1:5" x14ac:dyDescent="0.25">
      <c r="A93" s="8">
        <v>0.35</v>
      </c>
      <c r="B93" s="2">
        <f>AVERAGE(B32:B36)</f>
        <v>0.27386260000000001</v>
      </c>
      <c r="C93" s="2">
        <f>AVERAGE(C32:C36)</f>
        <v>0.28378200000000003</v>
      </c>
      <c r="D93">
        <v>0</v>
      </c>
      <c r="E93" s="2">
        <f>AVERAGE(E51:E55)</f>
        <v>2.5120839999999998E-2</v>
      </c>
    </row>
    <row r="94" spans="1:5" x14ac:dyDescent="0.25">
      <c r="A94" s="8">
        <v>0.55000000000000004</v>
      </c>
      <c r="B94" s="2">
        <f>AVERAGE(B51:B55)</f>
        <v>0.27386260000000001</v>
      </c>
      <c r="C94" s="2">
        <f>AVERAGE(C51:C55)</f>
        <v>0.28195599999999998</v>
      </c>
      <c r="D94">
        <v>0</v>
      </c>
      <c r="E94" s="2">
        <f>AVERAGE(E51:E55)</f>
        <v>2.5120839999999998E-2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0.28167799999999998</v>
      </c>
      <c r="D95">
        <v>0</v>
      </c>
      <c r="E95" s="2">
        <f>AVERAGE(E70:E74)</f>
        <v>7.8049400000000005E-2</v>
      </c>
    </row>
  </sheetData>
  <mergeCells count="15">
    <mergeCell ref="A30:C30"/>
    <mergeCell ref="A40:G40"/>
    <mergeCell ref="A41:G41"/>
    <mergeCell ref="A49:C49"/>
    <mergeCell ref="A59:G59"/>
    <mergeCell ref="A78:G78"/>
    <mergeCell ref="A79:G79"/>
    <mergeCell ref="A90:C90"/>
    <mergeCell ref="A60:G60"/>
    <mergeCell ref="A68:C68"/>
    <mergeCell ref="A1:G1"/>
    <mergeCell ref="A2:G2"/>
    <mergeCell ref="A10:C10"/>
    <mergeCell ref="A21:G21"/>
    <mergeCell ref="A22:G22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61" zoomScale="70" zoomScaleNormal="70" workbookViewId="0">
      <selection activeCell="K56" sqref="K56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1" t="s">
        <v>19</v>
      </c>
      <c r="B1" s="31"/>
      <c r="C1" s="31"/>
      <c r="D1" s="31"/>
      <c r="E1" s="31"/>
      <c r="F1" s="31"/>
      <c r="G1" s="31"/>
    </row>
    <row r="2" spans="1:9" x14ac:dyDescent="0.25">
      <c r="A2" s="38" t="s">
        <v>2</v>
      </c>
      <c r="B2" s="32"/>
      <c r="C2" s="32"/>
      <c r="D2" s="32"/>
      <c r="E2" s="32"/>
      <c r="F2" s="32"/>
      <c r="G2" s="39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1</v>
      </c>
      <c r="C4">
        <v>1</v>
      </c>
      <c r="D4">
        <v>166</v>
      </c>
      <c r="E4">
        <v>232</v>
      </c>
      <c r="F4">
        <v>1</v>
      </c>
      <c r="G4">
        <v>1</v>
      </c>
      <c r="H4">
        <v>92</v>
      </c>
      <c r="I4">
        <v>52</v>
      </c>
    </row>
    <row r="5" spans="1:9" x14ac:dyDescent="0.25">
      <c r="A5" s="1" t="s">
        <v>11</v>
      </c>
      <c r="B5">
        <v>1</v>
      </c>
      <c r="C5">
        <v>1</v>
      </c>
      <c r="D5">
        <v>107</v>
      </c>
      <c r="E5">
        <v>120</v>
      </c>
      <c r="F5">
        <v>1</v>
      </c>
      <c r="G5">
        <v>1</v>
      </c>
      <c r="H5">
        <v>160</v>
      </c>
      <c r="I5">
        <v>26</v>
      </c>
    </row>
    <row r="6" spans="1:9" x14ac:dyDescent="0.25">
      <c r="A6" s="1" t="s">
        <v>12</v>
      </c>
      <c r="B6">
        <v>1</v>
      </c>
      <c r="C6">
        <v>1</v>
      </c>
      <c r="D6">
        <v>146</v>
      </c>
      <c r="E6">
        <v>135</v>
      </c>
      <c r="F6">
        <v>1</v>
      </c>
      <c r="G6">
        <v>1</v>
      </c>
      <c r="H6">
        <v>320</v>
      </c>
      <c r="I6">
        <v>129</v>
      </c>
    </row>
    <row r="7" spans="1:9" x14ac:dyDescent="0.25">
      <c r="A7" s="1" t="s">
        <v>13</v>
      </c>
      <c r="B7">
        <v>1</v>
      </c>
      <c r="C7">
        <v>1</v>
      </c>
      <c r="D7">
        <v>75</v>
      </c>
      <c r="E7">
        <v>138</v>
      </c>
      <c r="F7">
        <v>1</v>
      </c>
      <c r="G7">
        <v>1</v>
      </c>
      <c r="H7">
        <v>139</v>
      </c>
      <c r="I7">
        <v>45</v>
      </c>
    </row>
    <row r="8" spans="1:9" x14ac:dyDescent="0.25">
      <c r="A8" s="1" t="s">
        <v>14</v>
      </c>
      <c r="B8">
        <v>1</v>
      </c>
      <c r="C8">
        <v>1</v>
      </c>
      <c r="D8">
        <v>156</v>
      </c>
      <c r="E8">
        <v>72</v>
      </c>
      <c r="F8">
        <v>1</v>
      </c>
      <c r="G8">
        <v>1</v>
      </c>
      <c r="H8">
        <v>266</v>
      </c>
      <c r="I8">
        <v>167</v>
      </c>
    </row>
    <row r="13" spans="1:9" x14ac:dyDescent="0.25">
      <c r="A13" s="31" t="s">
        <v>20</v>
      </c>
      <c r="B13" s="31"/>
      <c r="C13" s="31"/>
      <c r="D13" s="31"/>
      <c r="E13" s="31"/>
      <c r="F13" s="31"/>
      <c r="G13" s="31"/>
    </row>
    <row r="14" spans="1:9" x14ac:dyDescent="0.25">
      <c r="A14" s="38" t="s">
        <v>2</v>
      </c>
      <c r="B14" s="32"/>
      <c r="C14" s="32"/>
      <c r="D14" s="32"/>
      <c r="E14" s="32"/>
      <c r="F14" s="32"/>
      <c r="G14" s="39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1</v>
      </c>
      <c r="C16">
        <v>1</v>
      </c>
      <c r="D16">
        <v>176</v>
      </c>
      <c r="E16">
        <v>112</v>
      </c>
      <c r="F16">
        <v>1</v>
      </c>
      <c r="G16">
        <v>1</v>
      </c>
      <c r="H16">
        <v>4</v>
      </c>
      <c r="I16">
        <v>63</v>
      </c>
    </row>
    <row r="17" spans="1:9" x14ac:dyDescent="0.25">
      <c r="A17" s="1" t="s">
        <v>11</v>
      </c>
      <c r="B17">
        <v>1</v>
      </c>
      <c r="C17">
        <v>1</v>
      </c>
      <c r="D17">
        <v>155</v>
      </c>
      <c r="E17">
        <v>193</v>
      </c>
      <c r="F17">
        <v>1</v>
      </c>
      <c r="G17">
        <v>1</v>
      </c>
      <c r="H17">
        <v>121</v>
      </c>
      <c r="I17">
        <v>55</v>
      </c>
    </row>
    <row r="18" spans="1:9" x14ac:dyDescent="0.25">
      <c r="A18" s="1" t="s">
        <v>12</v>
      </c>
      <c r="B18">
        <v>1</v>
      </c>
      <c r="C18">
        <v>1</v>
      </c>
      <c r="D18">
        <v>185</v>
      </c>
      <c r="E18">
        <v>162</v>
      </c>
      <c r="F18">
        <v>1</v>
      </c>
      <c r="G18">
        <v>1</v>
      </c>
      <c r="H18">
        <v>147</v>
      </c>
      <c r="I18">
        <v>35</v>
      </c>
    </row>
    <row r="19" spans="1:9" x14ac:dyDescent="0.25">
      <c r="A19" s="1" t="s">
        <v>13</v>
      </c>
      <c r="B19">
        <v>1</v>
      </c>
      <c r="C19">
        <v>1</v>
      </c>
      <c r="D19">
        <v>153</v>
      </c>
      <c r="E19">
        <v>102</v>
      </c>
      <c r="F19">
        <v>1</v>
      </c>
      <c r="G19">
        <v>1</v>
      </c>
      <c r="H19">
        <v>172</v>
      </c>
      <c r="I19">
        <v>14</v>
      </c>
    </row>
    <row r="20" spans="1:9" x14ac:dyDescent="0.25">
      <c r="A20" s="1" t="s">
        <v>14</v>
      </c>
      <c r="B20">
        <v>1</v>
      </c>
      <c r="C20">
        <v>1</v>
      </c>
      <c r="D20">
        <v>276</v>
      </c>
      <c r="E20">
        <v>62</v>
      </c>
      <c r="F20">
        <v>1</v>
      </c>
      <c r="G20">
        <v>1</v>
      </c>
      <c r="H20">
        <v>104</v>
      </c>
      <c r="I20">
        <v>89</v>
      </c>
    </row>
    <row r="24" spans="1:9" x14ac:dyDescent="0.25">
      <c r="A24" s="31" t="s">
        <v>21</v>
      </c>
      <c r="B24" s="31"/>
      <c r="C24" s="31"/>
      <c r="D24" s="31"/>
      <c r="E24" s="31"/>
      <c r="F24" s="31"/>
      <c r="G24" s="31"/>
    </row>
    <row r="25" spans="1:9" x14ac:dyDescent="0.25">
      <c r="A25" s="38" t="s">
        <v>2</v>
      </c>
      <c r="B25" s="32"/>
      <c r="C25" s="32"/>
      <c r="D25" s="32"/>
      <c r="E25" s="32"/>
      <c r="F25" s="32"/>
      <c r="G25" s="39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150</v>
      </c>
      <c r="C27">
        <v>1</v>
      </c>
      <c r="D27">
        <v>88</v>
      </c>
      <c r="E27">
        <v>93</v>
      </c>
      <c r="F27">
        <v>1</v>
      </c>
      <c r="G27">
        <v>1</v>
      </c>
      <c r="H27">
        <v>205</v>
      </c>
      <c r="I27">
        <v>36</v>
      </c>
    </row>
    <row r="28" spans="1:9" x14ac:dyDescent="0.25">
      <c r="A28" s="1" t="s">
        <v>11</v>
      </c>
      <c r="B28">
        <v>74</v>
      </c>
      <c r="C28">
        <v>1</v>
      </c>
      <c r="D28">
        <v>114</v>
      </c>
      <c r="E28">
        <v>166</v>
      </c>
      <c r="F28">
        <v>1</v>
      </c>
      <c r="G28">
        <v>1</v>
      </c>
      <c r="H28">
        <v>72</v>
      </c>
      <c r="I28">
        <v>198</v>
      </c>
    </row>
    <row r="29" spans="1:9" x14ac:dyDescent="0.25">
      <c r="A29" s="1" t="s">
        <v>12</v>
      </c>
      <c r="B29">
        <v>1</v>
      </c>
      <c r="C29">
        <v>1</v>
      </c>
      <c r="D29">
        <v>117</v>
      </c>
      <c r="E29">
        <v>118</v>
      </c>
      <c r="F29">
        <v>1</v>
      </c>
      <c r="G29">
        <v>1</v>
      </c>
      <c r="H29">
        <v>124</v>
      </c>
      <c r="I29">
        <v>125</v>
      </c>
    </row>
    <row r="30" spans="1:9" x14ac:dyDescent="0.25">
      <c r="A30" s="1" t="s">
        <v>13</v>
      </c>
      <c r="B30">
        <v>69</v>
      </c>
      <c r="C30">
        <v>1</v>
      </c>
      <c r="D30">
        <v>92</v>
      </c>
      <c r="E30">
        <v>151</v>
      </c>
      <c r="F30">
        <v>1</v>
      </c>
      <c r="G30">
        <v>1</v>
      </c>
      <c r="H30">
        <v>315</v>
      </c>
      <c r="I30">
        <v>71</v>
      </c>
    </row>
    <row r="31" spans="1:9" x14ac:dyDescent="0.25">
      <c r="A31" s="1" t="s">
        <v>14</v>
      </c>
      <c r="B31">
        <v>84</v>
      </c>
      <c r="C31">
        <v>1</v>
      </c>
      <c r="D31">
        <v>126</v>
      </c>
      <c r="E31">
        <v>112</v>
      </c>
      <c r="F31">
        <v>1</v>
      </c>
      <c r="G31">
        <v>1</v>
      </c>
      <c r="H31">
        <v>134</v>
      </c>
      <c r="I31">
        <v>68</v>
      </c>
    </row>
    <row r="36" spans="1:9" x14ac:dyDescent="0.25">
      <c r="A36" s="31" t="s">
        <v>22</v>
      </c>
      <c r="B36" s="31"/>
      <c r="C36" s="31"/>
      <c r="D36" s="31"/>
      <c r="E36" s="31"/>
      <c r="F36" s="31"/>
      <c r="G36" s="31"/>
    </row>
    <row r="37" spans="1:9" x14ac:dyDescent="0.25">
      <c r="A37" s="38" t="s">
        <v>2</v>
      </c>
      <c r="B37" s="32"/>
      <c r="C37" s="32"/>
      <c r="D37" s="32"/>
      <c r="E37" s="32"/>
      <c r="F37" s="32"/>
      <c r="G37" s="39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90</v>
      </c>
      <c r="C39">
        <v>1</v>
      </c>
      <c r="D39">
        <v>175</v>
      </c>
      <c r="E39">
        <v>96</v>
      </c>
      <c r="F39">
        <v>4</v>
      </c>
      <c r="G39">
        <v>4</v>
      </c>
      <c r="H39">
        <v>4</v>
      </c>
      <c r="I39">
        <v>4</v>
      </c>
    </row>
    <row r="40" spans="1:9" x14ac:dyDescent="0.25">
      <c r="A40" s="1" t="s">
        <v>11</v>
      </c>
      <c r="B40">
        <v>136</v>
      </c>
      <c r="C40">
        <v>1</v>
      </c>
      <c r="D40">
        <v>114</v>
      </c>
      <c r="E40">
        <v>71</v>
      </c>
      <c r="F40">
        <v>4</v>
      </c>
      <c r="G40">
        <v>4</v>
      </c>
      <c r="H40">
        <v>4</v>
      </c>
      <c r="I40">
        <v>4</v>
      </c>
    </row>
    <row r="41" spans="1:9" x14ac:dyDescent="0.25">
      <c r="A41" s="1" t="s">
        <v>12</v>
      </c>
      <c r="B41">
        <v>83</v>
      </c>
      <c r="C41">
        <v>1</v>
      </c>
      <c r="D41">
        <v>146</v>
      </c>
      <c r="E41">
        <v>119</v>
      </c>
      <c r="F41">
        <v>4</v>
      </c>
      <c r="G41">
        <v>4</v>
      </c>
      <c r="H41">
        <v>5</v>
      </c>
      <c r="I41">
        <v>4</v>
      </c>
    </row>
    <row r="42" spans="1:9" x14ac:dyDescent="0.25">
      <c r="A42" s="1" t="s">
        <v>13</v>
      </c>
      <c r="B42">
        <v>242</v>
      </c>
      <c r="C42">
        <v>1</v>
      </c>
      <c r="D42">
        <v>129</v>
      </c>
      <c r="E42">
        <v>93</v>
      </c>
      <c r="F42">
        <v>4</v>
      </c>
      <c r="G42">
        <v>4</v>
      </c>
      <c r="H42">
        <v>4</v>
      </c>
      <c r="I42">
        <v>4</v>
      </c>
    </row>
    <row r="43" spans="1:9" x14ac:dyDescent="0.25">
      <c r="A43" s="1" t="s">
        <v>14</v>
      </c>
      <c r="B43">
        <v>116</v>
      </c>
      <c r="C43">
        <v>1</v>
      </c>
      <c r="D43">
        <v>92</v>
      </c>
      <c r="E43">
        <v>107</v>
      </c>
      <c r="F43">
        <v>4</v>
      </c>
      <c r="G43">
        <v>4</v>
      </c>
      <c r="H43">
        <v>4</v>
      </c>
      <c r="I43">
        <v>4</v>
      </c>
    </row>
    <row r="59" spans="1:9" x14ac:dyDescent="0.25">
      <c r="A59" s="36" t="s">
        <v>18</v>
      </c>
      <c r="B59" s="36"/>
      <c r="C59" s="36"/>
      <c r="D59" s="36"/>
      <c r="E59" s="36"/>
      <c r="F59" s="36"/>
      <c r="G59" s="36"/>
    </row>
    <row r="60" spans="1:9" x14ac:dyDescent="0.25">
      <c r="A60" s="38" t="s">
        <v>2</v>
      </c>
      <c r="B60" s="32"/>
      <c r="C60" s="32"/>
      <c r="D60" s="32"/>
      <c r="E60" s="32"/>
      <c r="F60" s="32"/>
      <c r="G60" s="39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28</v>
      </c>
      <c r="I61" s="11" t="s">
        <v>27</v>
      </c>
    </row>
    <row r="62" spans="1:9" x14ac:dyDescent="0.25">
      <c r="A62" s="7">
        <v>0.15</v>
      </c>
      <c r="B62">
        <f>AVERAGE(B4:B8)</f>
        <v>1</v>
      </c>
      <c r="C62">
        <f>AVERAGE(C4:C8)</f>
        <v>1</v>
      </c>
      <c r="D62">
        <f>AVERAGE(D4:D8)</f>
        <v>130</v>
      </c>
      <c r="E62">
        <f t="shared" ref="E62:G62" si="0">AVERAGE(E4:E8)</f>
        <v>139.4</v>
      </c>
      <c r="F62">
        <f t="shared" si="0"/>
        <v>1</v>
      </c>
      <c r="G62">
        <f t="shared" si="0"/>
        <v>1</v>
      </c>
      <c r="H62">
        <f>AVERAGE(H4:H8)</f>
        <v>195.4</v>
      </c>
      <c r="I62">
        <f>AVERAGE(I4:I8)</f>
        <v>83.8</v>
      </c>
    </row>
    <row r="63" spans="1:9" x14ac:dyDescent="0.25">
      <c r="A63" s="8">
        <v>0.35</v>
      </c>
      <c r="B63">
        <f>AVERAGE(B16:B20)</f>
        <v>1</v>
      </c>
      <c r="C63">
        <f>AVERAGE(C16:C20)</f>
        <v>1</v>
      </c>
      <c r="D63">
        <f t="shared" ref="D63:G63" si="1">AVERAGE(D16:D20)</f>
        <v>189</v>
      </c>
      <c r="E63">
        <f t="shared" si="1"/>
        <v>126.2</v>
      </c>
      <c r="F63">
        <f t="shared" si="1"/>
        <v>1</v>
      </c>
      <c r="G63">
        <f t="shared" si="1"/>
        <v>1</v>
      </c>
      <c r="H63">
        <f>AVERAGE(H16:H20)</f>
        <v>109.6</v>
      </c>
      <c r="I63">
        <f>AVERAGE(I16:I20)</f>
        <v>51.2</v>
      </c>
    </row>
    <row r="64" spans="1:9" x14ac:dyDescent="0.25">
      <c r="A64" s="8">
        <v>0.55000000000000004</v>
      </c>
      <c r="B64">
        <f>AVERAGE(B27:B31)</f>
        <v>75.599999999999994</v>
      </c>
      <c r="C64">
        <f t="shared" ref="C64:G64" si="2">AVERAGE(C27:C31)</f>
        <v>1</v>
      </c>
      <c r="D64">
        <f t="shared" si="2"/>
        <v>107.4</v>
      </c>
      <c r="E64">
        <f>AVERAGE(E27:E31)</f>
        <v>128</v>
      </c>
      <c r="F64">
        <f t="shared" si="2"/>
        <v>1</v>
      </c>
      <c r="G64">
        <f t="shared" si="2"/>
        <v>1</v>
      </c>
      <c r="H64">
        <f>AVERAGE(H27:H31)</f>
        <v>170</v>
      </c>
      <c r="I64">
        <f>AVERAGE(I27:I31)</f>
        <v>99.6</v>
      </c>
    </row>
    <row r="65" spans="1:9" x14ac:dyDescent="0.25">
      <c r="A65" s="8">
        <v>0.7</v>
      </c>
      <c r="B65">
        <f>AVERAGE(B39:B43)</f>
        <v>133.4</v>
      </c>
      <c r="C65">
        <f t="shared" ref="C65:G65" si="3">AVERAGE(C39:C43)</f>
        <v>1</v>
      </c>
      <c r="D65">
        <f t="shared" si="3"/>
        <v>131.19999999999999</v>
      </c>
      <c r="E65">
        <f t="shared" si="3"/>
        <v>97.2</v>
      </c>
      <c r="F65">
        <f t="shared" si="3"/>
        <v>4</v>
      </c>
      <c r="G65">
        <f t="shared" si="3"/>
        <v>4</v>
      </c>
      <c r="H65">
        <f>AVERAGE(H39:H43)</f>
        <v>4.2</v>
      </c>
      <c r="I65">
        <f>AVERAGE(I39:I43)</f>
        <v>4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Edge Cuts</vt:lpstr>
      <vt:lpstr>Graph sizes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2025-01-19T19:05:29Z</dcterms:modified>
</cp:coreProperties>
</file>
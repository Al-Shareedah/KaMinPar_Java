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ngw\OneDrive\Documents\GitHub\SISR Script\Experiments data\Contraction Limit\"/>
    </mc:Choice>
  </mc:AlternateContent>
  <xr:revisionPtr revIDLastSave="0" documentId="13_ncr:1_{1C946CBC-0A52-4A4E-ADD7-9093C351FB1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dge Cuts" sheetId="1" r:id="rId1"/>
    <sheet name="Runtimes" sheetId="3" r:id="rId2"/>
    <sheet name="CCM" sheetId="5" r:id="rId3"/>
    <sheet name="Contiguity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5" i="1" l="1"/>
  <c r="K66" i="1"/>
  <c r="K67" i="1"/>
  <c r="K64" i="1"/>
  <c r="J65" i="1"/>
  <c r="J66" i="1"/>
  <c r="J67" i="1"/>
  <c r="J64" i="1"/>
  <c r="I65" i="1"/>
  <c r="I66" i="1"/>
  <c r="I67" i="1"/>
  <c r="I64" i="1"/>
  <c r="H65" i="1"/>
  <c r="H66" i="1"/>
  <c r="H67" i="1"/>
  <c r="H64" i="1"/>
  <c r="I65" i="7"/>
  <c r="I64" i="7"/>
  <c r="I63" i="7"/>
  <c r="I62" i="7"/>
  <c r="H65" i="7"/>
  <c r="H64" i="7"/>
  <c r="H63" i="7"/>
  <c r="H62" i="7"/>
  <c r="E95" i="5"/>
  <c r="E94" i="5"/>
  <c r="E93" i="5"/>
  <c r="E92" i="5"/>
  <c r="E84" i="5"/>
  <c r="E83" i="5"/>
  <c r="E82" i="5"/>
  <c r="E81" i="5"/>
  <c r="D84" i="5"/>
  <c r="D83" i="5"/>
  <c r="D82" i="5"/>
  <c r="D81" i="5"/>
  <c r="I55" i="3"/>
  <c r="I54" i="3"/>
  <c r="I53" i="3"/>
  <c r="I52" i="3"/>
  <c r="H55" i="3"/>
  <c r="H54" i="3"/>
  <c r="H53" i="3"/>
  <c r="H52" i="3"/>
  <c r="I57" i="1"/>
  <c r="I56" i="1"/>
  <c r="I55" i="1"/>
  <c r="I54" i="1"/>
  <c r="H57" i="1"/>
  <c r="H56" i="1"/>
  <c r="H55" i="1"/>
  <c r="H54" i="1"/>
  <c r="B55" i="3"/>
  <c r="B54" i="1"/>
  <c r="G54" i="1"/>
  <c r="G55" i="1"/>
  <c r="G57" i="1"/>
  <c r="G56" i="1"/>
  <c r="C55" i="1"/>
  <c r="B57" i="1"/>
  <c r="B56" i="1"/>
  <c r="B55" i="1"/>
  <c r="B63" i="7"/>
  <c r="B62" i="7"/>
  <c r="G65" i="7"/>
  <c r="F65" i="7"/>
  <c r="E65" i="7"/>
  <c r="D65" i="7"/>
  <c r="C65" i="7"/>
  <c r="B65" i="7"/>
  <c r="G64" i="7"/>
  <c r="F64" i="7"/>
  <c r="E64" i="7"/>
  <c r="D64" i="7"/>
  <c r="C64" i="7"/>
  <c r="B64" i="7"/>
  <c r="G63" i="7"/>
  <c r="F63" i="7"/>
  <c r="E63" i="7"/>
  <c r="D63" i="7"/>
  <c r="C63" i="7"/>
  <c r="G62" i="7"/>
  <c r="F62" i="7"/>
  <c r="E62" i="7"/>
  <c r="D62" i="7"/>
  <c r="C62" i="7"/>
  <c r="C95" i="5"/>
  <c r="B95" i="5"/>
  <c r="C94" i="5"/>
  <c r="B94" i="5"/>
  <c r="C93" i="5"/>
  <c r="B93" i="5"/>
  <c r="C92" i="5"/>
  <c r="B92" i="5"/>
  <c r="B82" i="5"/>
  <c r="B81" i="5"/>
  <c r="C84" i="5"/>
  <c r="B84" i="5"/>
  <c r="C83" i="5"/>
  <c r="B83" i="5"/>
  <c r="C82" i="5"/>
  <c r="C81" i="5"/>
  <c r="F57" i="1"/>
  <c r="E57" i="1"/>
  <c r="D57" i="1"/>
  <c r="C57" i="1"/>
  <c r="F56" i="1"/>
  <c r="E56" i="1"/>
  <c r="D56" i="1"/>
  <c r="C56" i="1"/>
  <c r="F55" i="1"/>
  <c r="E55" i="1"/>
  <c r="D55" i="1"/>
  <c r="F54" i="1"/>
  <c r="E54" i="1"/>
  <c r="D54" i="1"/>
  <c r="C54" i="1"/>
  <c r="G55" i="3"/>
  <c r="G54" i="3"/>
  <c r="G53" i="3"/>
  <c r="G52" i="3"/>
  <c r="F55" i="3"/>
  <c r="F54" i="3"/>
  <c r="F53" i="3"/>
  <c r="F52" i="3"/>
  <c r="E55" i="3"/>
  <c r="E54" i="3"/>
  <c r="E53" i="3"/>
  <c r="E52" i="3"/>
  <c r="D55" i="3"/>
  <c r="D54" i="3"/>
  <c r="D53" i="3"/>
  <c r="D52" i="3"/>
  <c r="C55" i="3"/>
  <c r="C54" i="3"/>
  <c r="C53" i="3"/>
  <c r="C52" i="3"/>
  <c r="B54" i="3"/>
  <c r="B53" i="3"/>
  <c r="B52" i="3"/>
</calcChain>
</file>

<file path=xl/sharedStrings.xml><?xml version="1.0" encoding="utf-8"?>
<sst xmlns="http://schemas.openxmlformats.org/spreadsheetml/2006/main" count="329" uniqueCount="29">
  <si>
    <t>KaHIP</t>
  </si>
  <si>
    <t>KaMinPar</t>
  </si>
  <si>
    <t>Average Connected Components</t>
  </si>
  <si>
    <t>Average percentage by which partitions missed the desired size</t>
  </si>
  <si>
    <t>f = [0.7, 0.3, 0, -0.3, -0.7]</t>
  </si>
  <si>
    <t>Edge Cut</t>
  </si>
  <si>
    <t>Proposed Model</t>
  </si>
  <si>
    <t xml:space="preserve">Proposed Model Without Refinement </t>
  </si>
  <si>
    <t>Proposed Model without (Split &amp; Merge)</t>
  </si>
  <si>
    <t xml:space="preserve">Proposed Model without (Split &amp; Merge) + Refinement </t>
  </si>
  <si>
    <t>Result 1</t>
  </si>
  <si>
    <t>Result 2</t>
  </si>
  <si>
    <t>Result 3</t>
  </si>
  <si>
    <t>Result 4</t>
  </si>
  <si>
    <t>Result 5</t>
  </si>
  <si>
    <t>Runtimes</t>
  </si>
  <si>
    <t>CCM</t>
  </si>
  <si>
    <t>Average</t>
  </si>
  <si>
    <t>Average Results</t>
  </si>
  <si>
    <t>K = 4, Graph = 4elt, Contraction = 15%, f = [0.3] Contraction limit = 6633</t>
  </si>
  <si>
    <t>K = 4, Graph = 4elt, Contraction = 35%, f = [0.3] Contraction limit = 5072</t>
  </si>
  <si>
    <t>K = 4, Graph = 4elt, Contraction = 55%, f = [0.3], CONTRACTION_LIMIT = 3511</t>
  </si>
  <si>
    <t>K = 4, Graph = 4elt, Contraction = 70%, f = [0.3], CONTRACTION_LIMIT = 2341</t>
  </si>
  <si>
    <t>Partition Sizes = [2522,3279,4262,5543]</t>
  </si>
  <si>
    <t>Deep Multilevel, ε= 0.0</t>
  </si>
  <si>
    <t>Deep Multilevel, ε = 0.05</t>
  </si>
  <si>
    <t>Partition Sizes = 2522,3279,4262,5543]</t>
  </si>
  <si>
    <t>Deep Multilevel, ε = 5</t>
  </si>
  <si>
    <t>Deep Multilevel, ε=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</si>
</sst>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0" fillId="0" borderId="2" xfId="0" applyBorder="1"/>
    <xf numFmtId="0" fontId="1" fillId="0" borderId="1" xfId="0" applyFont="1" applyBorder="1" applyAlignment="1">
      <alignment horizontal="center" vertical="top" wrapText="1"/>
    </xf>
    <xf numFmtId="0" fontId="0" fillId="0" borderId="1" xfId="0" applyBorder="1"/>
    <xf numFmtId="0" fontId="0" fillId="0" borderId="2" xfId="0" applyBorder="1" applyAlignment="1">
      <alignment vertical="center"/>
    </xf>
    <xf numFmtId="9" fontId="3" fillId="0" borderId="1" xfId="0" applyNumberFormat="1" applyFont="1" applyBorder="1" applyAlignment="1">
      <alignment horizontal="center" vertical="top"/>
    </xf>
    <xf numFmtId="9" fontId="3" fillId="0" borderId="6" xfId="0" applyNumberFormat="1" applyFont="1" applyBorder="1" applyAlignment="1">
      <alignment horizontal="center" vertical="top"/>
    </xf>
    <xf numFmtId="49" fontId="4" fillId="0" borderId="0" xfId="0" applyNumberFormat="1" applyFont="1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10" fontId="4" fillId="0" borderId="0" xfId="0" applyNumberFormat="1" applyFont="1"/>
    <xf numFmtId="0" fontId="0" fillId="3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0" xfId="0" applyFill="1" applyAlignment="1">
      <alignment horizontal="center"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Edge Cut as Contraction Limit Increases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4"/>
          <c:tx>
            <c:strRef>
              <c:f>'Edge Cuts'!$F$53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'Edge Cuts'!$A$54:$A$57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'Edge Cuts'!$F$54:$F$57</c:f>
              <c:numCache>
                <c:formatCode>General</c:formatCode>
                <c:ptCount val="4"/>
                <c:pt idx="0">
                  <c:v>399.2</c:v>
                </c:pt>
                <c:pt idx="1">
                  <c:v>389.2</c:v>
                </c:pt>
                <c:pt idx="2">
                  <c:v>384.4</c:v>
                </c:pt>
                <c:pt idx="3">
                  <c:v>389.2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03F-4992-AD85-1A46C59C5712}"/>
            </c:ext>
          </c:extLst>
        </c:ser>
        <c:ser>
          <c:idx val="5"/>
          <c:order val="5"/>
          <c:tx>
            <c:strRef>
              <c:f>'Edge Cuts'!$G$53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'Edge Cuts'!$A$54:$A$57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'Edge Cuts'!$G$54:$G$57</c:f>
              <c:numCache>
                <c:formatCode>General</c:formatCode>
                <c:ptCount val="4"/>
                <c:pt idx="0">
                  <c:v>343.2</c:v>
                </c:pt>
                <c:pt idx="1">
                  <c:v>343.2</c:v>
                </c:pt>
                <c:pt idx="2">
                  <c:v>343.2</c:v>
                </c:pt>
                <c:pt idx="3">
                  <c:v>343.2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03F-4992-AD85-1A46C59C5712}"/>
            </c:ext>
          </c:extLst>
        </c:ser>
        <c:ser>
          <c:idx val="6"/>
          <c:order val="6"/>
          <c:tx>
            <c:strRef>
              <c:f>'Edge Cuts'!$H$53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'Edge Cuts'!$A$54:$A$57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'Edge Cuts'!$H$54:$H$57</c:f>
              <c:numCache>
                <c:formatCode>General</c:formatCode>
                <c:ptCount val="4"/>
                <c:pt idx="0">
                  <c:v>3280.2</c:v>
                </c:pt>
                <c:pt idx="1">
                  <c:v>1836</c:v>
                </c:pt>
                <c:pt idx="2">
                  <c:v>2079.6</c:v>
                </c:pt>
                <c:pt idx="3">
                  <c:v>2258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50-45F3-87F3-290CD45ADC48}"/>
            </c:ext>
          </c:extLst>
        </c:ser>
        <c:ser>
          <c:idx val="7"/>
          <c:order val="7"/>
          <c:tx>
            <c:strRef>
              <c:f>'Edge Cuts'!$I$53</c:f>
              <c:strCache>
                <c:ptCount val="1"/>
                <c:pt idx="0">
                  <c:v>Deep Multilevel, ε = 5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'Edge Cuts'!$A$54:$A$57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'Edge Cuts'!$I$54:$I$57</c:f>
              <c:numCache>
                <c:formatCode>General</c:formatCode>
                <c:ptCount val="4"/>
                <c:pt idx="0">
                  <c:v>1394</c:v>
                </c:pt>
                <c:pt idx="1">
                  <c:v>1203.4000000000001</c:v>
                </c:pt>
                <c:pt idx="2">
                  <c:v>1624.8</c:v>
                </c:pt>
                <c:pt idx="3">
                  <c:v>1157.4000000000001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50-45F3-87F3-290CD45AD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328623"/>
        <c:axId val="40633630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'Edge Cuts'!$B$53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'Edge Cuts'!$A$54:$A$57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'Edge Cuts'!$B$54:$B$57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1457.6</c:v>
                      </c:pt>
                      <c:pt idx="1">
                        <c:v>1481.4</c:v>
                      </c:pt>
                      <c:pt idx="2">
                        <c:v>2512.8000000000002</c:v>
                      </c:pt>
                      <c:pt idx="3">
                        <c:v>3265.6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B03F-4992-AD85-1A46C59C5712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Cuts'!$C$53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Cuts'!$A$54:$A$57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Cuts'!$C$54:$C$57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1414.4</c:v>
                      </c:pt>
                      <c:pt idx="1">
                        <c:v>1451.8</c:v>
                      </c:pt>
                      <c:pt idx="2">
                        <c:v>1330.6</c:v>
                      </c:pt>
                      <c:pt idx="3">
                        <c:v>1525.6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03F-4992-AD85-1A46C59C5712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Cuts'!$D$53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Cuts'!$A$54:$A$57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Cuts'!$D$54:$D$57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2942.8</c:v>
                      </c:pt>
                      <c:pt idx="1">
                        <c:v>3610.6</c:v>
                      </c:pt>
                      <c:pt idx="2">
                        <c:v>3031.4</c:v>
                      </c:pt>
                      <c:pt idx="3">
                        <c:v>3334.4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03F-4992-AD85-1A46C59C5712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Cuts'!$E$53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 +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Cuts'!$A$54:$A$57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Cuts'!$E$54:$E$57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3302</c:v>
                      </c:pt>
                      <c:pt idx="1">
                        <c:v>3031.4</c:v>
                      </c:pt>
                      <c:pt idx="2">
                        <c:v>2966.6</c:v>
                      </c:pt>
                      <c:pt idx="3">
                        <c:v>2905.8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03F-4992-AD85-1A46C59C5712}"/>
                  </c:ext>
                </c:extLst>
              </c15:ser>
            </c15:filteredScatterSeries>
          </c:ext>
        </c:extLst>
      </c:scatterChart>
      <c:valAx>
        <c:axId val="406328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Contraction Limit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336303"/>
        <c:crosses val="autoZero"/>
        <c:crossBetween val="midCat"/>
      </c:valAx>
      <c:valAx>
        <c:axId val="40633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baseline="0">
                    <a:effectLst/>
                  </a:rPr>
                  <a:t>Percentage of Improvement</a:t>
                </a:r>
                <a:endParaRPr lang="en-US" sz="8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328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Edge Cut as Contraction Limit Increases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'Edge Cuts'!$H$63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'Edge Cuts'!$G$64:$G$67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'Edge Cuts'!$H$64:$H$67</c:f>
              <c:numCache>
                <c:formatCode>0%</c:formatCode>
                <c:ptCount val="4"/>
                <c:pt idx="0">
                  <c:v>-0.16317016317016317</c:v>
                </c:pt>
                <c:pt idx="1">
                  <c:v>-0.13403263403263405</c:v>
                </c:pt>
                <c:pt idx="2">
                  <c:v>-0.12004662004662002</c:v>
                </c:pt>
                <c:pt idx="3">
                  <c:v>-0.13403263403263405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3B-49FF-9DF7-752B01358881}"/>
            </c:ext>
          </c:extLst>
        </c:ser>
        <c:ser>
          <c:idx val="1"/>
          <c:order val="1"/>
          <c:tx>
            <c:strRef>
              <c:f>'Edge Cuts'!$I$63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'Edge Cuts'!$G$64:$G$67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'Edge Cuts'!$I$64:$I$67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3B-49FF-9DF7-752B01358881}"/>
            </c:ext>
          </c:extLst>
        </c:ser>
        <c:ser>
          <c:idx val="2"/>
          <c:order val="2"/>
          <c:tx>
            <c:strRef>
              <c:f>'Edge Cuts'!$J$63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'Edge Cuts'!$G$64:$G$67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'Edge Cuts'!$J$64:$J$67</c:f>
              <c:numCache>
                <c:formatCode>0%</c:formatCode>
                <c:ptCount val="4"/>
                <c:pt idx="0">
                  <c:v>-8.5576923076923084</c:v>
                </c:pt>
                <c:pt idx="1">
                  <c:v>-4.34965034965035</c:v>
                </c:pt>
                <c:pt idx="2">
                  <c:v>-5.0594405594405591</c:v>
                </c:pt>
                <c:pt idx="3">
                  <c:v>-5.5792540792540795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03B-49FF-9DF7-752B01358881}"/>
            </c:ext>
          </c:extLst>
        </c:ser>
        <c:ser>
          <c:idx val="3"/>
          <c:order val="3"/>
          <c:tx>
            <c:strRef>
              <c:f>'Edge Cuts'!$K$63</c:f>
              <c:strCache>
                <c:ptCount val="1"/>
                <c:pt idx="0">
                  <c:v>Deep Multilevel, ε = 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'Edge Cuts'!$G$64:$G$67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'Edge Cuts'!$K$64:$K$67</c:f>
              <c:numCache>
                <c:formatCode>0%</c:formatCode>
                <c:ptCount val="4"/>
                <c:pt idx="0">
                  <c:v>-3.061771561771562</c:v>
                </c:pt>
                <c:pt idx="1">
                  <c:v>-2.5064102564102568</c:v>
                </c:pt>
                <c:pt idx="2">
                  <c:v>-3.7342657342657342</c:v>
                </c:pt>
                <c:pt idx="3">
                  <c:v>-2.3723776223776225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03B-49FF-9DF7-752B01358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752287"/>
        <c:axId val="1796753247"/>
      </c:scatterChart>
      <c:valAx>
        <c:axId val="179675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Precentage of Contraction Limit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753247"/>
        <c:crosses val="autoZero"/>
        <c:crossBetween val="midCat"/>
      </c:valAx>
      <c:valAx>
        <c:axId val="179675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0" baseline="0">
                    <a:effectLst/>
                  </a:rPr>
                  <a:t>Percentage of Decline</a:t>
                </a:r>
                <a:endParaRPr lang="en-US" sz="9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752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Runtime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4"/>
          <c:tx>
            <c:strRef>
              <c:f>Runtimes!$F$51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Runtimes!$A$52:$A$55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Runtimes!$F$52:$F$55</c:f>
              <c:numCache>
                <c:formatCode>General</c:formatCode>
                <c:ptCount val="4"/>
                <c:pt idx="0">
                  <c:v>2.0771999999999999</c:v>
                </c:pt>
                <c:pt idx="1">
                  <c:v>2.3489999999999998</c:v>
                </c:pt>
                <c:pt idx="2">
                  <c:v>2.2884000000000002</c:v>
                </c:pt>
                <c:pt idx="3">
                  <c:v>2.1574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06A-422C-BD17-093EF8AEDF6F}"/>
            </c:ext>
          </c:extLst>
        </c:ser>
        <c:ser>
          <c:idx val="5"/>
          <c:order val="5"/>
          <c:tx>
            <c:strRef>
              <c:f>Runtimes!$G$51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Runtimes!$A$52:$A$55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Runtimes!$G$52:$G$55</c:f>
              <c:numCache>
                <c:formatCode>General</c:formatCode>
                <c:ptCount val="4"/>
                <c:pt idx="0">
                  <c:v>1.0442</c:v>
                </c:pt>
                <c:pt idx="1">
                  <c:v>1.0442</c:v>
                </c:pt>
                <c:pt idx="2">
                  <c:v>1.0442</c:v>
                </c:pt>
                <c:pt idx="3">
                  <c:v>1.0442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06A-422C-BD17-093EF8AEDF6F}"/>
            </c:ext>
          </c:extLst>
        </c:ser>
        <c:ser>
          <c:idx val="6"/>
          <c:order val="6"/>
          <c:tx>
            <c:strRef>
              <c:f>Runtimes!$H$51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Runtimes!$A$52:$A$55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Runtimes!$H$52:$H$55</c:f>
              <c:numCache>
                <c:formatCode>General</c:formatCode>
                <c:ptCount val="4"/>
                <c:pt idx="0">
                  <c:v>3.7113999999999998</c:v>
                </c:pt>
                <c:pt idx="1">
                  <c:v>3.5178000000000003</c:v>
                </c:pt>
                <c:pt idx="2">
                  <c:v>3.5604</c:v>
                </c:pt>
                <c:pt idx="3">
                  <c:v>4.0469999999999997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4B-4BFB-856A-DE7FB1B038CC}"/>
            </c:ext>
          </c:extLst>
        </c:ser>
        <c:ser>
          <c:idx val="7"/>
          <c:order val="7"/>
          <c:tx>
            <c:strRef>
              <c:f>Runtimes!$I$51</c:f>
              <c:strCache>
                <c:ptCount val="1"/>
                <c:pt idx="0">
                  <c:v>Deep Multilevel, ε = 5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Runtimes!$A$52:$A$55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Runtimes!$I$52:$I$55</c:f>
              <c:numCache>
                <c:formatCode>General</c:formatCode>
                <c:ptCount val="4"/>
                <c:pt idx="0">
                  <c:v>2.2378</c:v>
                </c:pt>
                <c:pt idx="1">
                  <c:v>2.1887999999999996</c:v>
                </c:pt>
                <c:pt idx="2">
                  <c:v>2.1995999999999998</c:v>
                </c:pt>
                <c:pt idx="3">
                  <c:v>3.1444000000000001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D4B-4BFB-856A-DE7FB1B03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627391"/>
        <c:axId val="67862451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Runtimes!$B$51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Runtimes!$A$52:$A$55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Runtimes!$B$52:$B$55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91.754599999999996</c:v>
                      </c:pt>
                      <c:pt idx="1">
                        <c:v>132.321</c:v>
                      </c:pt>
                      <c:pt idx="2">
                        <c:v>73.751800000000003</c:v>
                      </c:pt>
                      <c:pt idx="3">
                        <c:v>49.319600000000001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006A-422C-BD17-093EF8AEDF6F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Runtimes!$C$51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Runtimes!$A$52:$A$55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Runtimes!$C$52:$C$55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84.063200000000009</c:v>
                      </c:pt>
                      <c:pt idx="1">
                        <c:v>150.34780000000001</c:v>
                      </c:pt>
                      <c:pt idx="2">
                        <c:v>73.754800000000003</c:v>
                      </c:pt>
                      <c:pt idx="3">
                        <c:v>48.282200000000003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06A-422C-BD17-093EF8AEDF6F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Runtimes!$D$51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Runtimes!$A$52:$A$55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Runtimes!$D$52:$D$55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3.1605999999999996</c:v>
                      </c:pt>
                      <c:pt idx="1">
                        <c:v>3.1295999999999999</c:v>
                      </c:pt>
                      <c:pt idx="2">
                        <c:v>5.15</c:v>
                      </c:pt>
                      <c:pt idx="3">
                        <c:v>4.3275999999999994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06A-422C-BD17-093EF8AEDF6F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Runtimes!$E$51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 +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Runtimes!$A$52:$A$55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Runtimes!$E$52:$E$55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2.1703999999999999</c:v>
                      </c:pt>
                      <c:pt idx="1">
                        <c:v>1.7662</c:v>
                      </c:pt>
                      <c:pt idx="2">
                        <c:v>1.6038000000000001</c:v>
                      </c:pt>
                      <c:pt idx="3">
                        <c:v>1.3905999999999998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06A-422C-BD17-093EF8AEDF6F}"/>
                  </c:ext>
                </c:extLst>
              </c15:ser>
            </c15:filteredScatterSeries>
          </c:ext>
        </c:extLst>
      </c:scatterChart>
      <c:valAx>
        <c:axId val="678627391"/>
        <c:scaling>
          <c:orientation val="minMax"/>
          <c:max val="0.70000000000000007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Precentage of Contraction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624511"/>
        <c:crosses val="autoZero"/>
        <c:crossBetween val="midCat"/>
      </c:valAx>
      <c:valAx>
        <c:axId val="67862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627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eorgia" panose="02040502050405020303" pitchFamily="18" charset="0"/>
                <a:cs typeface="Arial" panose="020B0604020202020204" pitchFamily="34" charset="0"/>
              </a:rPr>
              <a:t>Cardinality Compliance Metric (CCM)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CCM!$B$80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CCM!$A$81:$A$84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CCM!$B$81:$B$84</c:f>
              <c:numCache>
                <c:formatCode>0%</c:formatCode>
                <c:ptCount val="4"/>
                <c:pt idx="0">
                  <c:v>0.26151999999999997</c:v>
                </c:pt>
                <c:pt idx="1">
                  <c:v>0.25800000000000001</c:v>
                </c:pt>
                <c:pt idx="2">
                  <c:v>0.71839999999999993</c:v>
                </c:pt>
                <c:pt idx="3">
                  <c:v>0.25840000000000007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BB-4DC0-84D5-1CE4BB63B8FB}"/>
            </c:ext>
          </c:extLst>
        </c:ser>
        <c:ser>
          <c:idx val="1"/>
          <c:order val="1"/>
          <c:tx>
            <c:strRef>
              <c:f>CCM!$C$80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CCM!$A$81:$A$84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CCM!$C$81:$C$84</c:f>
              <c:numCache>
                <c:formatCode>0%</c:formatCode>
                <c:ptCount val="4"/>
                <c:pt idx="0">
                  <c:v>0.25119999999999998</c:v>
                </c:pt>
                <c:pt idx="1">
                  <c:v>0.25119999999999998</c:v>
                </c:pt>
                <c:pt idx="2">
                  <c:v>0.25119999999999998</c:v>
                </c:pt>
                <c:pt idx="3">
                  <c:v>0.25119999999999998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BB-4DC0-84D5-1CE4BB63B8FB}"/>
            </c:ext>
          </c:extLst>
        </c:ser>
        <c:ser>
          <c:idx val="2"/>
          <c:order val="2"/>
          <c:tx>
            <c:strRef>
              <c:f>CCM!$D$80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CCM!$A$81:$A$84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CCM!$D$81:$D$84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F4-45D1-98BD-DEC1801C50C9}"/>
            </c:ext>
          </c:extLst>
        </c:ser>
        <c:ser>
          <c:idx val="3"/>
          <c:order val="3"/>
          <c:tx>
            <c:strRef>
              <c:f>CCM!$E$80</c:f>
              <c:strCache>
                <c:ptCount val="1"/>
                <c:pt idx="0">
                  <c:v>Deep Multilevel, ε = 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CCM!$A$81:$A$84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CCM!$E$81:$E$84</c:f>
              <c:numCache>
                <c:formatCode>0%</c:formatCode>
                <c:ptCount val="4"/>
                <c:pt idx="0">
                  <c:v>3.1047999999999999E-2</c:v>
                </c:pt>
                <c:pt idx="1">
                  <c:v>2.5537999999999998E-2</c:v>
                </c:pt>
                <c:pt idx="2">
                  <c:v>2.3396E-2</c:v>
                </c:pt>
                <c:pt idx="3">
                  <c:v>1.9438E-2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F4-45D1-98BD-DEC1801C5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259951"/>
        <c:axId val="403075327"/>
      </c:scatterChart>
      <c:valAx>
        <c:axId val="678259951"/>
        <c:scaling>
          <c:orientation val="minMax"/>
          <c:max val="0.70000000000000007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Precentage of Contraction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075327"/>
        <c:crosses val="autoZero"/>
        <c:crossBetween val="midCat"/>
      </c:valAx>
      <c:valAx>
        <c:axId val="40307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259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Mean Deviation Percentage from Desired Partition Size</a:t>
            </a:r>
            <a:endParaRPr lang="en-US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CCM!$B$91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CCM!$A$92:$A$95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CCM!$B$92:$B$95</c:f>
              <c:numCache>
                <c:formatCode>0.00%</c:formatCode>
                <c:ptCount val="4"/>
                <c:pt idx="0">
                  <c:v>0.27386260000000001</c:v>
                </c:pt>
                <c:pt idx="1">
                  <c:v>0.27386260000000001</c:v>
                </c:pt>
                <c:pt idx="2">
                  <c:v>0.27386260000000001</c:v>
                </c:pt>
                <c:pt idx="3">
                  <c:v>0.30241659999999998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6D-4F43-9324-2B7C206C6FC7}"/>
            </c:ext>
          </c:extLst>
        </c:ser>
        <c:ser>
          <c:idx val="1"/>
          <c:order val="1"/>
          <c:tx>
            <c:strRef>
              <c:f>CCM!$C$91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CCM!$A$92:$A$95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CCM!$C$92:$C$95</c:f>
              <c:numCache>
                <c:formatCode>0.00%</c:formatCode>
                <c:ptCount val="4"/>
                <c:pt idx="0">
                  <c:v>0.28851199999999999</c:v>
                </c:pt>
                <c:pt idx="1">
                  <c:v>0.28378200000000003</c:v>
                </c:pt>
                <c:pt idx="2">
                  <c:v>0.28195599999999998</c:v>
                </c:pt>
                <c:pt idx="3">
                  <c:v>0.28167799999999998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6D-4F43-9324-2B7C206C6FC7}"/>
            </c:ext>
          </c:extLst>
        </c:ser>
        <c:ser>
          <c:idx val="2"/>
          <c:order val="2"/>
          <c:tx>
            <c:strRef>
              <c:f>CCM!$D$91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CCM!$A$92:$A$95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CCM!$D$92:$D$95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C4-4C26-AFA5-78E9D1959E9B}"/>
            </c:ext>
          </c:extLst>
        </c:ser>
        <c:ser>
          <c:idx val="3"/>
          <c:order val="3"/>
          <c:tx>
            <c:strRef>
              <c:f>CCM!$E$91</c:f>
              <c:strCache>
                <c:ptCount val="1"/>
                <c:pt idx="0">
                  <c:v>Deep Multilevel, ε = 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CCM!$A$92:$A$95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CCM!$E$92:$E$95</c:f>
              <c:numCache>
                <c:formatCode>0.00%</c:formatCode>
                <c:ptCount val="4"/>
                <c:pt idx="0">
                  <c:v>2.9996248000000003E-2</c:v>
                </c:pt>
                <c:pt idx="1">
                  <c:v>2.5120839999999998E-2</c:v>
                </c:pt>
                <c:pt idx="2">
                  <c:v>2.5120839999999998E-2</c:v>
                </c:pt>
                <c:pt idx="3">
                  <c:v>7.8049400000000005E-2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C4-4C26-AFA5-78E9D1959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623551"/>
        <c:axId val="678618751"/>
      </c:scatterChart>
      <c:valAx>
        <c:axId val="678623551"/>
        <c:scaling>
          <c:orientation val="minMax"/>
          <c:max val="0.70000000000000007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Precentage of Contraction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618751"/>
        <c:crosses val="autoZero"/>
        <c:crossBetween val="midCat"/>
      </c:valAx>
      <c:valAx>
        <c:axId val="67861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Precentage of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623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Average Connected Components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4"/>
          <c:tx>
            <c:strRef>
              <c:f>Contiguity!$F$61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Contiguity!$A$62:$A$65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Contiguity!$F$62:$F$65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B12-4B49-98B0-B69F313BC51B}"/>
            </c:ext>
          </c:extLst>
        </c:ser>
        <c:ser>
          <c:idx val="5"/>
          <c:order val="5"/>
          <c:tx>
            <c:strRef>
              <c:f>Contiguity!$G$61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Contiguity!$A$62:$A$65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Contiguity!$G$62:$G$65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B12-4B49-98B0-B69F313BC51B}"/>
            </c:ext>
          </c:extLst>
        </c:ser>
        <c:ser>
          <c:idx val="6"/>
          <c:order val="6"/>
          <c:tx>
            <c:strRef>
              <c:f>Contiguity!$H$61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Contiguity!$A$62:$A$65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Contiguity!$H$62:$H$65</c:f>
              <c:numCache>
                <c:formatCode>General</c:formatCode>
                <c:ptCount val="4"/>
                <c:pt idx="0">
                  <c:v>195.4</c:v>
                </c:pt>
                <c:pt idx="1">
                  <c:v>109.6</c:v>
                </c:pt>
                <c:pt idx="2">
                  <c:v>170</c:v>
                </c:pt>
                <c:pt idx="3">
                  <c:v>169.6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07-4137-977F-88C17DE9C23C}"/>
            </c:ext>
          </c:extLst>
        </c:ser>
        <c:ser>
          <c:idx val="7"/>
          <c:order val="7"/>
          <c:tx>
            <c:strRef>
              <c:f>Contiguity!$I$61</c:f>
              <c:strCache>
                <c:ptCount val="1"/>
                <c:pt idx="0">
                  <c:v>Deep Multilevel, ε = 5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Contiguity!$A$62:$A$65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Contiguity!$I$62:$I$65</c:f>
              <c:numCache>
                <c:formatCode>General</c:formatCode>
                <c:ptCount val="4"/>
                <c:pt idx="0">
                  <c:v>83.8</c:v>
                </c:pt>
                <c:pt idx="1">
                  <c:v>51.2</c:v>
                </c:pt>
                <c:pt idx="2">
                  <c:v>99.6</c:v>
                </c:pt>
                <c:pt idx="3">
                  <c:v>43.6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07-4137-977F-88C17DE9C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268111"/>
        <c:axId val="67826187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Contiguity!$B$61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Contiguity!$A$62:$A$65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Contiguity!$B$62:$B$65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1</c:v>
                      </c:pt>
                      <c:pt idx="2">
                        <c:v>75.599999999999994</c:v>
                      </c:pt>
                      <c:pt idx="3">
                        <c:v>133.4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FB12-4B49-98B0-B69F313BC51B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Contiguity!$C$61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Contiguity!$A$62:$A$65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Contiguity!$C$62:$C$65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B12-4B49-98B0-B69F313BC51B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Contiguity!$D$61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Contiguity!$A$62:$A$65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Contiguity!$D$62:$D$65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130</c:v>
                      </c:pt>
                      <c:pt idx="1">
                        <c:v>189</c:v>
                      </c:pt>
                      <c:pt idx="2">
                        <c:v>107.4</c:v>
                      </c:pt>
                      <c:pt idx="3">
                        <c:v>131.19999999999999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B12-4B49-98B0-B69F313BC51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Contiguity!$E$61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 +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Contiguity!$A$62:$A$65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Contiguity!$E$62:$E$65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139.4</c:v>
                      </c:pt>
                      <c:pt idx="1">
                        <c:v>126.2</c:v>
                      </c:pt>
                      <c:pt idx="2">
                        <c:v>128</c:v>
                      </c:pt>
                      <c:pt idx="3">
                        <c:v>97.2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B12-4B49-98B0-B69F313BC51B}"/>
                  </c:ext>
                </c:extLst>
              </c15:ser>
            </c15:filteredScatterSeries>
          </c:ext>
        </c:extLst>
      </c:scatterChart>
      <c:valAx>
        <c:axId val="678268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Precentage of Contraction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261871"/>
        <c:crosses val="autoZero"/>
        <c:crossBetween val="midCat"/>
      </c:valAx>
      <c:valAx>
        <c:axId val="67826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268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797859</xdr:colOff>
      <xdr:row>69</xdr:row>
      <xdr:rowOff>131390</xdr:rowOff>
    </xdr:from>
    <xdr:to>
      <xdr:col>6</xdr:col>
      <xdr:colOff>593911</xdr:colOff>
      <xdr:row>92</xdr:row>
      <xdr:rowOff>145677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9FF5F3-5C2B-3880-4714-AF80AF8F2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453837</xdr:colOff>
      <xdr:row>70</xdr:row>
      <xdr:rowOff>124385</xdr:rowOff>
    </xdr:from>
    <xdr:to>
      <xdr:col>16</xdr:col>
      <xdr:colOff>11205</xdr:colOff>
      <xdr:row>93</xdr:row>
      <xdr:rowOff>134471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B07476-E39E-AA82-4EB0-17F5D2E8E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364191</xdr:colOff>
      <xdr:row>55</xdr:row>
      <xdr:rowOff>70874</xdr:rowOff>
    </xdr:from>
    <xdr:to>
      <xdr:col>7</xdr:col>
      <xdr:colOff>1288676</xdr:colOff>
      <xdr:row>78</xdr:row>
      <xdr:rowOff>89647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521E91-64DC-507C-5C7B-69A3ADA1A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258535</xdr:colOff>
      <xdr:row>92</xdr:row>
      <xdr:rowOff>76879</xdr:rowOff>
    </xdr:from>
    <xdr:to>
      <xdr:col>21</xdr:col>
      <xdr:colOff>353785</xdr:colOff>
      <xdr:row>115</xdr:row>
      <xdr:rowOff>81643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592EAC-B179-D691-8FB0-52B9BC9FA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1683202</xdr:colOff>
      <xdr:row>104</xdr:row>
      <xdr:rowOff>6121</xdr:rowOff>
    </xdr:from>
    <xdr:to>
      <xdr:col>9</xdr:col>
      <xdr:colOff>136071</xdr:colOff>
      <xdr:row>127</xdr:row>
      <xdr:rowOff>27214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3211CDC-EF14-8806-4272-B8F3CB15B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1412420</xdr:colOff>
      <xdr:row>67</xdr:row>
      <xdr:rowOff>129947</xdr:rowOff>
    </xdr:from>
    <xdr:to>
      <xdr:col>9</xdr:col>
      <xdr:colOff>408213</xdr:colOff>
      <xdr:row>90</xdr:row>
      <xdr:rowOff>136071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9B1DD1-CD4A-A96A-3B90-B1CC45B99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opLeftCell="A61" zoomScale="85" zoomScaleNormal="85" workbookViewId="0">
      <selection activeCell="O67" sqref="O67"/>
    </sheetView>
  </sheetViews>
  <sheetFormatPr defaultRowHeight="15" x14ac:dyDescent="0.25"/>
  <cols>
    <col min="1" max="1" width="13.5703125" bestFit="1" customWidth="1"/>
    <col min="2" max="2" width="24.28515625" bestFit="1" customWidth="1"/>
    <col min="3" max="3" width="22.140625" bestFit="1" customWidth="1"/>
    <col min="4" max="4" width="38.28515625" bestFit="1" customWidth="1"/>
    <col min="5" max="5" width="35.42578125" bestFit="1" customWidth="1"/>
    <col min="8" max="8" width="21.85546875" bestFit="1" customWidth="1"/>
    <col min="9" max="9" width="23.28515625" bestFit="1" customWidth="1"/>
  </cols>
  <sheetData>
    <row r="1" spans="1:9" x14ac:dyDescent="0.25">
      <c r="C1" t="s">
        <v>4</v>
      </c>
      <c r="D1" s="9" t="s">
        <v>26</v>
      </c>
    </row>
    <row r="2" spans="1:9" x14ac:dyDescent="0.25">
      <c r="A2" s="14" t="s">
        <v>19</v>
      </c>
      <c r="B2" s="14"/>
      <c r="C2" s="14"/>
      <c r="D2" s="14"/>
      <c r="E2" s="14"/>
      <c r="F2" s="14"/>
      <c r="G2" s="14"/>
    </row>
    <row r="3" spans="1:9" x14ac:dyDescent="0.25">
      <c r="A3" s="15" t="s">
        <v>5</v>
      </c>
      <c r="B3" s="15"/>
      <c r="C3" s="15"/>
      <c r="D3" s="15"/>
      <c r="E3" s="15"/>
      <c r="F3" s="15"/>
      <c r="G3" s="15"/>
    </row>
    <row r="4" spans="1:9" ht="30" x14ac:dyDescent="0.25">
      <c r="A4" s="3"/>
      <c r="B4" s="1" t="s">
        <v>6</v>
      </c>
      <c r="C4" s="4" t="s">
        <v>7</v>
      </c>
      <c r="D4" s="1" t="s">
        <v>8</v>
      </c>
      <c r="E4" s="4" t="s">
        <v>9</v>
      </c>
      <c r="F4" s="1" t="s">
        <v>1</v>
      </c>
      <c r="G4" s="1" t="s">
        <v>0</v>
      </c>
      <c r="H4" s="10" t="s">
        <v>24</v>
      </c>
      <c r="I4" s="11" t="s">
        <v>25</v>
      </c>
    </row>
    <row r="5" spans="1:9" x14ac:dyDescent="0.25">
      <c r="A5" s="1" t="s">
        <v>10</v>
      </c>
      <c r="B5">
        <v>1482</v>
      </c>
      <c r="C5">
        <v>1730</v>
      </c>
      <c r="D5">
        <v>2988</v>
      </c>
      <c r="E5">
        <v>4138</v>
      </c>
      <c r="F5">
        <v>386</v>
      </c>
      <c r="G5">
        <v>350</v>
      </c>
      <c r="H5">
        <v>2390</v>
      </c>
      <c r="I5">
        <v>1297</v>
      </c>
    </row>
    <row r="6" spans="1:9" x14ac:dyDescent="0.25">
      <c r="A6" s="1" t="s">
        <v>11</v>
      </c>
      <c r="B6">
        <v>1101</v>
      </c>
      <c r="C6">
        <v>1369</v>
      </c>
      <c r="D6">
        <v>2728</v>
      </c>
      <c r="E6">
        <v>2758</v>
      </c>
      <c r="F6">
        <v>411</v>
      </c>
      <c r="G6">
        <v>341</v>
      </c>
      <c r="H6">
        <v>2720</v>
      </c>
      <c r="I6">
        <v>863</v>
      </c>
    </row>
    <row r="7" spans="1:9" x14ac:dyDescent="0.25">
      <c r="A7" s="1" t="s">
        <v>12</v>
      </c>
      <c r="B7">
        <v>1885</v>
      </c>
      <c r="C7">
        <v>1373</v>
      </c>
      <c r="D7">
        <v>3101</v>
      </c>
      <c r="E7">
        <v>3633</v>
      </c>
      <c r="F7">
        <v>418</v>
      </c>
      <c r="G7">
        <v>342</v>
      </c>
      <c r="H7">
        <v>4700</v>
      </c>
      <c r="I7">
        <v>1929</v>
      </c>
    </row>
    <row r="8" spans="1:9" x14ac:dyDescent="0.25">
      <c r="A8" s="1" t="s">
        <v>13</v>
      </c>
      <c r="B8">
        <v>1075</v>
      </c>
      <c r="C8">
        <v>1203</v>
      </c>
      <c r="D8">
        <v>2271</v>
      </c>
      <c r="E8">
        <v>3242</v>
      </c>
      <c r="F8">
        <v>392</v>
      </c>
      <c r="G8">
        <v>342</v>
      </c>
      <c r="H8">
        <v>3149</v>
      </c>
      <c r="I8">
        <v>1053</v>
      </c>
    </row>
    <row r="9" spans="1:9" x14ac:dyDescent="0.25">
      <c r="A9" s="1" t="s">
        <v>14</v>
      </c>
      <c r="B9">
        <v>1745</v>
      </c>
      <c r="C9">
        <v>1397</v>
      </c>
      <c r="D9">
        <v>3626</v>
      </c>
      <c r="E9">
        <v>2739</v>
      </c>
      <c r="F9">
        <v>389</v>
      </c>
      <c r="G9">
        <v>341</v>
      </c>
      <c r="H9">
        <v>3442</v>
      </c>
      <c r="I9">
        <v>1828</v>
      </c>
    </row>
    <row r="14" spans="1:9" x14ac:dyDescent="0.25">
      <c r="C14" t="s">
        <v>4</v>
      </c>
    </row>
    <row r="15" spans="1:9" x14ac:dyDescent="0.25">
      <c r="A15" s="14" t="s">
        <v>20</v>
      </c>
      <c r="B15" s="14"/>
      <c r="C15" s="14"/>
      <c r="D15" s="14"/>
      <c r="E15" s="14"/>
      <c r="F15" s="14"/>
      <c r="G15" s="14"/>
    </row>
    <row r="16" spans="1:9" x14ac:dyDescent="0.25">
      <c r="A16" s="16" t="s">
        <v>5</v>
      </c>
      <c r="B16" s="16"/>
      <c r="C16" s="16"/>
      <c r="D16" s="16"/>
      <c r="E16" s="16"/>
      <c r="F16" s="16"/>
      <c r="G16" s="16"/>
    </row>
    <row r="17" spans="1:9" ht="30" x14ac:dyDescent="0.25">
      <c r="A17" s="3"/>
      <c r="B17" s="1" t="s">
        <v>6</v>
      </c>
      <c r="C17" s="4" t="s">
        <v>7</v>
      </c>
      <c r="D17" s="1" t="s">
        <v>8</v>
      </c>
      <c r="E17" s="4" t="s">
        <v>9</v>
      </c>
      <c r="F17" s="1" t="s">
        <v>1</v>
      </c>
      <c r="G17" s="1" t="s">
        <v>0</v>
      </c>
      <c r="H17" s="10" t="s">
        <v>24</v>
      </c>
      <c r="I17" s="11" t="s">
        <v>25</v>
      </c>
    </row>
    <row r="18" spans="1:9" x14ac:dyDescent="0.25">
      <c r="A18" s="1" t="s">
        <v>10</v>
      </c>
      <c r="B18">
        <v>1319</v>
      </c>
      <c r="C18">
        <v>1848</v>
      </c>
      <c r="D18">
        <v>3531</v>
      </c>
      <c r="E18">
        <v>3012</v>
      </c>
      <c r="F18">
        <v>418</v>
      </c>
      <c r="G18">
        <v>350</v>
      </c>
      <c r="H18">
        <v>438</v>
      </c>
      <c r="I18">
        <v>1228</v>
      </c>
    </row>
    <row r="19" spans="1:9" x14ac:dyDescent="0.25">
      <c r="A19" s="1" t="s">
        <v>11</v>
      </c>
      <c r="B19">
        <v>1763</v>
      </c>
      <c r="C19">
        <v>1167</v>
      </c>
      <c r="D19">
        <v>3307</v>
      </c>
      <c r="E19">
        <v>4188</v>
      </c>
      <c r="F19">
        <v>402</v>
      </c>
      <c r="G19">
        <v>341</v>
      </c>
      <c r="H19">
        <v>1448</v>
      </c>
      <c r="I19">
        <v>1593</v>
      </c>
    </row>
    <row r="20" spans="1:9" x14ac:dyDescent="0.25">
      <c r="A20" s="1" t="s">
        <v>12</v>
      </c>
      <c r="B20">
        <v>1196</v>
      </c>
      <c r="C20">
        <v>1046</v>
      </c>
      <c r="D20">
        <v>3425</v>
      </c>
      <c r="E20">
        <v>2973</v>
      </c>
      <c r="F20">
        <v>393</v>
      </c>
      <c r="G20">
        <v>342</v>
      </c>
      <c r="H20">
        <v>2493</v>
      </c>
      <c r="I20">
        <v>1022</v>
      </c>
    </row>
    <row r="21" spans="1:9" x14ac:dyDescent="0.25">
      <c r="A21" s="1" t="s">
        <v>13</v>
      </c>
      <c r="B21">
        <v>1462</v>
      </c>
      <c r="C21">
        <v>1276</v>
      </c>
      <c r="D21">
        <v>3161</v>
      </c>
      <c r="E21">
        <v>2379</v>
      </c>
      <c r="F21">
        <v>381</v>
      </c>
      <c r="G21">
        <v>342</v>
      </c>
      <c r="H21">
        <v>2561</v>
      </c>
      <c r="I21">
        <v>719</v>
      </c>
    </row>
    <row r="22" spans="1:9" x14ac:dyDescent="0.25">
      <c r="A22" s="1" t="s">
        <v>14</v>
      </c>
      <c r="B22">
        <v>1667</v>
      </c>
      <c r="C22">
        <v>1922</v>
      </c>
      <c r="D22">
        <v>4629</v>
      </c>
      <c r="E22">
        <v>2605</v>
      </c>
      <c r="F22">
        <v>352</v>
      </c>
      <c r="G22">
        <v>341</v>
      </c>
      <c r="H22">
        <v>2240</v>
      </c>
      <c r="I22">
        <v>1455</v>
      </c>
    </row>
    <row r="27" spans="1:9" x14ac:dyDescent="0.25">
      <c r="C27" t="s">
        <v>4</v>
      </c>
    </row>
    <row r="28" spans="1:9" x14ac:dyDescent="0.25">
      <c r="A28" s="14" t="s">
        <v>21</v>
      </c>
      <c r="B28" s="14"/>
      <c r="C28" s="14"/>
      <c r="D28" s="14"/>
      <c r="E28" s="14"/>
      <c r="F28" s="14"/>
      <c r="G28" s="14"/>
    </row>
    <row r="29" spans="1:9" x14ac:dyDescent="0.25">
      <c r="A29" s="15" t="s">
        <v>5</v>
      </c>
      <c r="B29" s="15"/>
      <c r="C29" s="15"/>
      <c r="D29" s="15"/>
      <c r="E29" s="15"/>
      <c r="F29" s="15"/>
      <c r="G29" s="15"/>
    </row>
    <row r="30" spans="1:9" ht="30" x14ac:dyDescent="0.25">
      <c r="A30" s="3"/>
      <c r="B30" s="1" t="s">
        <v>6</v>
      </c>
      <c r="C30" s="4" t="s">
        <v>7</v>
      </c>
      <c r="D30" s="1" t="s">
        <v>8</v>
      </c>
      <c r="E30" s="4" t="s">
        <v>9</v>
      </c>
      <c r="F30" s="1" t="s">
        <v>1</v>
      </c>
      <c r="G30" s="1" t="s">
        <v>0</v>
      </c>
      <c r="H30" s="10" t="s">
        <v>24</v>
      </c>
      <c r="I30" s="11" t="s">
        <v>25</v>
      </c>
    </row>
    <row r="31" spans="1:9" x14ac:dyDescent="0.25">
      <c r="A31" s="1" t="s">
        <v>10</v>
      </c>
      <c r="B31">
        <v>3606</v>
      </c>
      <c r="C31">
        <v>1167</v>
      </c>
      <c r="D31">
        <v>3112</v>
      </c>
      <c r="E31">
        <v>2536</v>
      </c>
      <c r="F31">
        <v>372</v>
      </c>
      <c r="G31">
        <v>350</v>
      </c>
      <c r="H31">
        <v>2501</v>
      </c>
      <c r="I31">
        <v>1345</v>
      </c>
    </row>
    <row r="32" spans="1:9" x14ac:dyDescent="0.25">
      <c r="A32" s="1" t="s">
        <v>11</v>
      </c>
      <c r="B32">
        <v>2363</v>
      </c>
      <c r="C32">
        <v>1482</v>
      </c>
      <c r="D32">
        <v>3514</v>
      </c>
      <c r="E32">
        <v>3278</v>
      </c>
      <c r="F32">
        <v>382</v>
      </c>
      <c r="G32">
        <v>341</v>
      </c>
      <c r="H32">
        <v>1101</v>
      </c>
      <c r="I32">
        <v>2448</v>
      </c>
    </row>
    <row r="33" spans="1:9" x14ac:dyDescent="0.25">
      <c r="A33" s="1" t="s">
        <v>12</v>
      </c>
      <c r="B33">
        <v>1718</v>
      </c>
      <c r="C33">
        <v>1299</v>
      </c>
      <c r="D33">
        <v>3118</v>
      </c>
      <c r="E33">
        <v>2841</v>
      </c>
      <c r="F33">
        <v>364</v>
      </c>
      <c r="G33">
        <v>342</v>
      </c>
      <c r="H33">
        <v>1945</v>
      </c>
      <c r="I33">
        <v>1878</v>
      </c>
    </row>
    <row r="34" spans="1:9" x14ac:dyDescent="0.25">
      <c r="A34" s="1" t="s">
        <v>13</v>
      </c>
      <c r="B34">
        <v>2163</v>
      </c>
      <c r="C34">
        <v>1352</v>
      </c>
      <c r="D34">
        <v>2757</v>
      </c>
      <c r="E34">
        <v>3269</v>
      </c>
      <c r="F34">
        <v>428</v>
      </c>
      <c r="G34">
        <v>342</v>
      </c>
      <c r="H34">
        <v>3302</v>
      </c>
      <c r="I34">
        <v>1022</v>
      </c>
    </row>
    <row r="35" spans="1:9" x14ac:dyDescent="0.25">
      <c r="A35" s="1" t="s">
        <v>14</v>
      </c>
      <c r="B35">
        <v>2714</v>
      </c>
      <c r="C35">
        <v>1353</v>
      </c>
      <c r="D35">
        <v>2656</v>
      </c>
      <c r="E35">
        <v>2909</v>
      </c>
      <c r="F35">
        <v>376</v>
      </c>
      <c r="G35">
        <v>341</v>
      </c>
      <c r="H35">
        <v>1549</v>
      </c>
      <c r="I35">
        <v>1431</v>
      </c>
    </row>
    <row r="40" spans="1:9" x14ac:dyDescent="0.25">
      <c r="C40" t="s">
        <v>4</v>
      </c>
    </row>
    <row r="41" spans="1:9" x14ac:dyDescent="0.25">
      <c r="A41" s="14" t="s">
        <v>22</v>
      </c>
      <c r="B41" s="14"/>
      <c r="C41" s="14"/>
      <c r="D41" s="14"/>
      <c r="E41" s="14"/>
      <c r="F41" s="14"/>
      <c r="G41" s="14"/>
    </row>
    <row r="42" spans="1:9" x14ac:dyDescent="0.25">
      <c r="A42" s="15" t="s">
        <v>5</v>
      </c>
      <c r="B42" s="15"/>
      <c r="C42" s="15"/>
      <c r="D42" s="15"/>
      <c r="E42" s="15"/>
      <c r="F42" s="15"/>
      <c r="G42" s="15"/>
    </row>
    <row r="43" spans="1:9" ht="30" x14ac:dyDescent="0.25">
      <c r="A43" s="3"/>
      <c r="B43" s="1" t="s">
        <v>6</v>
      </c>
      <c r="C43" s="4" t="s">
        <v>7</v>
      </c>
      <c r="D43" s="1" t="s">
        <v>8</v>
      </c>
      <c r="E43" s="4" t="s">
        <v>9</v>
      </c>
      <c r="F43" s="1" t="s">
        <v>1</v>
      </c>
      <c r="G43" s="1" t="s">
        <v>0</v>
      </c>
      <c r="H43" s="10" t="s">
        <v>24</v>
      </c>
      <c r="I43" s="11" t="s">
        <v>25</v>
      </c>
    </row>
    <row r="44" spans="1:9" x14ac:dyDescent="0.25">
      <c r="A44" s="1" t="s">
        <v>10</v>
      </c>
      <c r="B44">
        <v>3088</v>
      </c>
      <c r="C44">
        <v>1827</v>
      </c>
      <c r="D44">
        <v>3545</v>
      </c>
      <c r="E44">
        <v>2878</v>
      </c>
      <c r="F44">
        <v>408</v>
      </c>
      <c r="G44">
        <v>350</v>
      </c>
      <c r="H44">
        <v>2395</v>
      </c>
      <c r="I44">
        <v>1710</v>
      </c>
    </row>
    <row r="45" spans="1:9" x14ac:dyDescent="0.25">
      <c r="A45" s="1" t="s">
        <v>11</v>
      </c>
      <c r="B45">
        <v>3547</v>
      </c>
      <c r="C45">
        <v>1494</v>
      </c>
      <c r="D45">
        <v>3292</v>
      </c>
      <c r="E45">
        <v>2686</v>
      </c>
      <c r="F45">
        <v>406</v>
      </c>
      <c r="G45">
        <v>341</v>
      </c>
      <c r="H45">
        <v>1734</v>
      </c>
      <c r="I45">
        <v>1617</v>
      </c>
    </row>
    <row r="46" spans="1:9" x14ac:dyDescent="0.25">
      <c r="A46" s="1" t="s">
        <v>12</v>
      </c>
      <c r="B46">
        <v>2312</v>
      </c>
      <c r="C46">
        <v>1294</v>
      </c>
      <c r="D46">
        <v>3634</v>
      </c>
      <c r="E46">
        <v>2841</v>
      </c>
      <c r="F46">
        <v>405</v>
      </c>
      <c r="G46">
        <v>342</v>
      </c>
      <c r="H46">
        <v>2143</v>
      </c>
      <c r="I46">
        <v>933</v>
      </c>
    </row>
    <row r="47" spans="1:9" x14ac:dyDescent="0.25">
      <c r="A47" s="1" t="s">
        <v>13</v>
      </c>
      <c r="B47">
        <v>3956</v>
      </c>
      <c r="C47">
        <v>1206</v>
      </c>
      <c r="D47">
        <v>3747</v>
      </c>
      <c r="E47">
        <v>2716</v>
      </c>
      <c r="F47">
        <v>384</v>
      </c>
      <c r="G47">
        <v>342</v>
      </c>
      <c r="H47">
        <v>2735</v>
      </c>
      <c r="I47">
        <v>638</v>
      </c>
    </row>
    <row r="48" spans="1:9" x14ac:dyDescent="0.25">
      <c r="A48" s="1" t="s">
        <v>14</v>
      </c>
      <c r="B48">
        <v>3425</v>
      </c>
      <c r="C48">
        <v>1807</v>
      </c>
      <c r="D48">
        <v>2454</v>
      </c>
      <c r="E48">
        <v>3408</v>
      </c>
      <c r="F48">
        <v>343</v>
      </c>
      <c r="G48">
        <v>341</v>
      </c>
      <c r="H48">
        <v>2283</v>
      </c>
      <c r="I48">
        <v>889</v>
      </c>
    </row>
    <row r="52" spans="1:11" x14ac:dyDescent="0.25">
      <c r="A52" s="13" t="s">
        <v>17</v>
      </c>
      <c r="B52" s="13"/>
      <c r="C52" s="13"/>
      <c r="D52" s="13"/>
      <c r="E52" s="13"/>
      <c r="F52" s="13"/>
      <c r="G52" s="13"/>
    </row>
    <row r="53" spans="1:11" ht="30" x14ac:dyDescent="0.25">
      <c r="A53" s="3"/>
      <c r="B53" s="1" t="s">
        <v>6</v>
      </c>
      <c r="C53" s="4" t="s">
        <v>7</v>
      </c>
      <c r="D53" s="1" t="s">
        <v>8</v>
      </c>
      <c r="E53" s="4" t="s">
        <v>9</v>
      </c>
      <c r="F53" s="1" t="s">
        <v>1</v>
      </c>
      <c r="G53" s="1" t="s">
        <v>0</v>
      </c>
      <c r="H53" s="10" t="s">
        <v>28</v>
      </c>
      <c r="I53" s="11" t="s">
        <v>27</v>
      </c>
    </row>
    <row r="54" spans="1:11" x14ac:dyDescent="0.25">
      <c r="A54" s="7">
        <v>0.15</v>
      </c>
      <c r="B54">
        <f>AVERAGE(B5:B9)</f>
        <v>1457.6</v>
      </c>
      <c r="C54">
        <f t="shared" ref="C54:F54" si="0">AVERAGE(C5:C9)</f>
        <v>1414.4</v>
      </c>
      <c r="D54">
        <f t="shared" si="0"/>
        <v>2942.8</v>
      </c>
      <c r="E54">
        <f t="shared" si="0"/>
        <v>3302</v>
      </c>
      <c r="F54">
        <f t="shared" si="0"/>
        <v>399.2</v>
      </c>
      <c r="G54">
        <f>AVERAGE(G5:G9)</f>
        <v>343.2</v>
      </c>
      <c r="H54">
        <f>AVERAGE(H5:H9)</f>
        <v>3280.2</v>
      </c>
      <c r="I54">
        <f>AVERAGE(I5:I9)</f>
        <v>1394</v>
      </c>
    </row>
    <row r="55" spans="1:11" x14ac:dyDescent="0.25">
      <c r="A55" s="8">
        <v>0.35</v>
      </c>
      <c r="B55">
        <f>AVERAGE(B18:B22)</f>
        <v>1481.4</v>
      </c>
      <c r="C55">
        <f>AVERAGE(C18:C22)</f>
        <v>1451.8</v>
      </c>
      <c r="D55">
        <f t="shared" ref="D55:F55" si="1">AVERAGE(D18:D22)</f>
        <v>3610.6</v>
      </c>
      <c r="E55">
        <f t="shared" si="1"/>
        <v>3031.4</v>
      </c>
      <c r="F55">
        <f t="shared" si="1"/>
        <v>389.2</v>
      </c>
      <c r="G55">
        <f>AVERAGE(G18:G22)</f>
        <v>343.2</v>
      </c>
      <c r="H55">
        <f>AVERAGE(H18:H22)</f>
        <v>1836</v>
      </c>
      <c r="I55">
        <f>AVERAGE(I18:I22)</f>
        <v>1203.4000000000001</v>
      </c>
    </row>
    <row r="56" spans="1:11" x14ac:dyDescent="0.25">
      <c r="A56" s="8">
        <v>0.55000000000000004</v>
      </c>
      <c r="B56">
        <f>AVERAGE(B31:B35)</f>
        <v>2512.8000000000002</v>
      </c>
      <c r="C56">
        <f t="shared" ref="C56:F56" si="2">AVERAGE(C31:C35)</f>
        <v>1330.6</v>
      </c>
      <c r="D56">
        <f t="shared" si="2"/>
        <v>3031.4</v>
      </c>
      <c r="E56">
        <f t="shared" si="2"/>
        <v>2966.6</v>
      </c>
      <c r="F56">
        <f t="shared" si="2"/>
        <v>384.4</v>
      </c>
      <c r="G56">
        <f>AVERAGE(G31:G35)</f>
        <v>343.2</v>
      </c>
      <c r="H56">
        <f>AVERAGE(H31:H35)</f>
        <v>2079.6</v>
      </c>
      <c r="I56">
        <f>AVERAGE(I31:I35)</f>
        <v>1624.8</v>
      </c>
    </row>
    <row r="57" spans="1:11" x14ac:dyDescent="0.25">
      <c r="A57" s="8">
        <v>0.7</v>
      </c>
      <c r="B57">
        <f>AVERAGE(B44:B48)</f>
        <v>3265.6</v>
      </c>
      <c r="C57">
        <f t="shared" ref="C57:F57" si="3">AVERAGE(C44:C48)</f>
        <v>1525.6</v>
      </c>
      <c r="D57">
        <f t="shared" si="3"/>
        <v>3334.4</v>
      </c>
      <c r="E57">
        <f t="shared" si="3"/>
        <v>2905.8</v>
      </c>
      <c r="F57">
        <f t="shared" si="3"/>
        <v>389.2</v>
      </c>
      <c r="G57">
        <f>AVERAGE(G44:G48)</f>
        <v>343.2</v>
      </c>
      <c r="H57">
        <f>AVERAGE(H44:H48)</f>
        <v>2258</v>
      </c>
      <c r="I57">
        <f>AVERAGE(I44:I48)</f>
        <v>1157.4000000000001</v>
      </c>
    </row>
    <row r="63" spans="1:11" x14ac:dyDescent="0.25">
      <c r="G63" s="3"/>
      <c r="H63" s="1" t="s">
        <v>1</v>
      </c>
      <c r="I63" s="1" t="s">
        <v>0</v>
      </c>
      <c r="J63" s="10" t="s">
        <v>28</v>
      </c>
      <c r="K63" s="11" t="s">
        <v>27</v>
      </c>
    </row>
    <row r="64" spans="1:11" x14ac:dyDescent="0.25">
      <c r="G64" s="7">
        <v>0.15</v>
      </c>
      <c r="H64" s="20">
        <f>(G54 - F54) / G54</f>
        <v>-0.16317016317016317</v>
      </c>
      <c r="I64" s="20">
        <f>(G54 - G54) / G54</f>
        <v>0</v>
      </c>
      <c r="J64" s="20">
        <f>(G54 - H54) / G54</f>
        <v>-8.5576923076923084</v>
      </c>
      <c r="K64" s="20">
        <f>(G54 - I54) / G54</f>
        <v>-3.061771561771562</v>
      </c>
    </row>
    <row r="65" spans="7:11" x14ac:dyDescent="0.25">
      <c r="G65" s="8">
        <v>0.35</v>
      </c>
      <c r="H65" s="20">
        <f t="shared" ref="H65:H67" si="4">(G55 - F55) / G55</f>
        <v>-0.13403263403263405</v>
      </c>
      <c r="I65" s="20">
        <f t="shared" ref="I65:I67" si="5">(G55 - G55) / G55</f>
        <v>0</v>
      </c>
      <c r="J65" s="20">
        <f t="shared" ref="J65:J67" si="6">(G55 - H55) / G55</f>
        <v>-4.34965034965035</v>
      </c>
      <c r="K65" s="20">
        <f t="shared" ref="K65:K67" si="7">(G55 - I55) / G55</f>
        <v>-2.5064102564102568</v>
      </c>
    </row>
    <row r="66" spans="7:11" x14ac:dyDescent="0.25">
      <c r="G66" s="8">
        <v>0.55000000000000004</v>
      </c>
      <c r="H66" s="20">
        <f t="shared" si="4"/>
        <v>-0.12004662004662002</v>
      </c>
      <c r="I66" s="20">
        <f t="shared" si="5"/>
        <v>0</v>
      </c>
      <c r="J66" s="20">
        <f t="shared" si="6"/>
        <v>-5.0594405594405591</v>
      </c>
      <c r="K66" s="20">
        <f t="shared" si="7"/>
        <v>-3.7342657342657342</v>
      </c>
    </row>
    <row r="67" spans="7:11" x14ac:dyDescent="0.25">
      <c r="G67" s="8">
        <v>0.7</v>
      </c>
      <c r="H67" s="20">
        <f t="shared" si="4"/>
        <v>-0.13403263403263405</v>
      </c>
      <c r="I67" s="20">
        <f t="shared" si="5"/>
        <v>0</v>
      </c>
      <c r="J67" s="20">
        <f t="shared" si="6"/>
        <v>-5.5792540792540795</v>
      </c>
      <c r="K67" s="20">
        <f t="shared" si="7"/>
        <v>-2.3723776223776225</v>
      </c>
    </row>
  </sheetData>
  <mergeCells count="9">
    <mergeCell ref="A52:G52"/>
    <mergeCell ref="A41:G41"/>
    <mergeCell ref="A42:G42"/>
    <mergeCell ref="A2:G2"/>
    <mergeCell ref="A3:G3"/>
    <mergeCell ref="A15:G15"/>
    <mergeCell ref="A16:G16"/>
    <mergeCell ref="A28:G28"/>
    <mergeCell ref="A29:G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5"/>
  <sheetViews>
    <sheetView topLeftCell="A46" zoomScale="85" zoomScaleNormal="85" workbookViewId="0">
      <selection activeCell="I72" sqref="I72"/>
    </sheetView>
  </sheetViews>
  <sheetFormatPr defaultRowHeight="15" x14ac:dyDescent="0.25"/>
  <cols>
    <col min="2" max="3" width="15.85546875" bestFit="1" customWidth="1"/>
    <col min="4" max="4" width="38.28515625" bestFit="1" customWidth="1"/>
    <col min="5" max="5" width="15.85546875" bestFit="1" customWidth="1"/>
    <col min="6" max="6" width="9.5703125" bestFit="1" customWidth="1"/>
    <col min="8" max="8" width="21.85546875" bestFit="1" customWidth="1"/>
    <col min="9" max="9" width="23.28515625" bestFit="1" customWidth="1"/>
  </cols>
  <sheetData>
    <row r="1" spans="1:9" x14ac:dyDescent="0.25">
      <c r="D1" s="9" t="s">
        <v>23</v>
      </c>
    </row>
    <row r="2" spans="1:9" x14ac:dyDescent="0.25">
      <c r="A2" s="14" t="s">
        <v>19</v>
      </c>
      <c r="B2" s="14"/>
      <c r="C2" s="14"/>
      <c r="D2" s="14"/>
      <c r="E2" s="14"/>
      <c r="F2" s="14"/>
      <c r="G2" s="14"/>
    </row>
    <row r="3" spans="1:9" x14ac:dyDescent="0.25">
      <c r="A3" s="17" t="s">
        <v>15</v>
      </c>
      <c r="B3" s="16"/>
      <c r="C3" s="16"/>
      <c r="D3" s="16"/>
      <c r="E3" s="16"/>
      <c r="F3" s="16"/>
      <c r="G3" s="18"/>
    </row>
    <row r="4" spans="1:9" ht="60" x14ac:dyDescent="0.25">
      <c r="A4" s="5"/>
      <c r="B4" s="1" t="s">
        <v>6</v>
      </c>
      <c r="C4" s="4" t="s">
        <v>7</v>
      </c>
      <c r="D4" s="1" t="s">
        <v>8</v>
      </c>
      <c r="E4" s="4" t="s">
        <v>9</v>
      </c>
      <c r="F4" s="1" t="s">
        <v>1</v>
      </c>
      <c r="G4" s="1" t="s">
        <v>0</v>
      </c>
      <c r="H4" s="10" t="s">
        <v>24</v>
      </c>
      <c r="I4" s="11" t="s">
        <v>25</v>
      </c>
    </row>
    <row r="5" spans="1:9" x14ac:dyDescent="0.25">
      <c r="A5" s="1" t="s">
        <v>10</v>
      </c>
      <c r="B5">
        <v>89.13</v>
      </c>
      <c r="C5">
        <v>73.685000000000002</v>
      </c>
      <c r="D5">
        <v>2.9089999999999998</v>
      </c>
      <c r="E5">
        <v>1.9179999999999999</v>
      </c>
      <c r="F5">
        <v>1.7090000000000001</v>
      </c>
      <c r="G5">
        <v>0.77500000000000002</v>
      </c>
      <c r="H5">
        <v>3.641</v>
      </c>
      <c r="I5">
        <v>2.044</v>
      </c>
    </row>
    <row r="6" spans="1:9" x14ac:dyDescent="0.25">
      <c r="A6" s="1" t="s">
        <v>11</v>
      </c>
      <c r="B6">
        <v>86.834000000000003</v>
      </c>
      <c r="C6">
        <v>97.706000000000003</v>
      </c>
      <c r="D6">
        <v>3.6280000000000001</v>
      </c>
      <c r="E6">
        <v>2.2709999999999999</v>
      </c>
      <c r="F6">
        <v>1.9259999999999999</v>
      </c>
      <c r="G6">
        <v>0.998</v>
      </c>
      <c r="H6">
        <v>3.6930000000000001</v>
      </c>
      <c r="I6">
        <v>2.3210000000000002</v>
      </c>
    </row>
    <row r="7" spans="1:9" x14ac:dyDescent="0.25">
      <c r="A7" s="1" t="s">
        <v>12</v>
      </c>
      <c r="B7">
        <v>92.950999999999993</v>
      </c>
      <c r="C7">
        <v>78.968999999999994</v>
      </c>
      <c r="D7">
        <v>3.0379999999999998</v>
      </c>
      <c r="E7">
        <v>2.0049999999999999</v>
      </c>
      <c r="F7">
        <v>2.2509999999999999</v>
      </c>
      <c r="G7">
        <v>1.252</v>
      </c>
      <c r="H7">
        <v>3.8719999999999999</v>
      </c>
      <c r="I7">
        <v>2.2629999999999999</v>
      </c>
    </row>
    <row r="8" spans="1:9" x14ac:dyDescent="0.25">
      <c r="A8" s="1" t="s">
        <v>13</v>
      </c>
      <c r="B8">
        <v>93.647000000000006</v>
      </c>
      <c r="C8">
        <v>92.076999999999998</v>
      </c>
      <c r="D8">
        <v>3.2349999999999999</v>
      </c>
      <c r="E8">
        <v>2.238</v>
      </c>
      <c r="F8">
        <v>2.1720000000000002</v>
      </c>
      <c r="G8">
        <v>1.1120000000000001</v>
      </c>
      <c r="H8">
        <v>3.613</v>
      </c>
      <c r="I8">
        <v>2.2370000000000001</v>
      </c>
    </row>
    <row r="9" spans="1:9" x14ac:dyDescent="0.25">
      <c r="A9" s="1" t="s">
        <v>14</v>
      </c>
      <c r="B9">
        <v>96.210999999999999</v>
      </c>
      <c r="C9">
        <v>77.879000000000005</v>
      </c>
      <c r="D9">
        <v>2.9929999999999999</v>
      </c>
      <c r="E9">
        <v>2.42</v>
      </c>
      <c r="F9">
        <v>2.3279999999999998</v>
      </c>
      <c r="G9">
        <v>1.0840000000000001</v>
      </c>
      <c r="H9">
        <v>3.738</v>
      </c>
      <c r="I9">
        <v>2.3239999999999998</v>
      </c>
    </row>
    <row r="14" spans="1:9" x14ac:dyDescent="0.25">
      <c r="A14" s="14" t="s">
        <v>20</v>
      </c>
      <c r="B14" s="14"/>
      <c r="C14" s="14"/>
      <c r="D14" s="14"/>
      <c r="E14" s="14"/>
      <c r="F14" s="14"/>
      <c r="G14" s="14"/>
    </row>
    <row r="15" spans="1:9" x14ac:dyDescent="0.25">
      <c r="A15" s="17" t="s">
        <v>15</v>
      </c>
      <c r="B15" s="16"/>
      <c r="C15" s="16"/>
      <c r="D15" s="16"/>
      <c r="E15" s="16"/>
      <c r="F15" s="16"/>
      <c r="G15" s="18"/>
    </row>
    <row r="16" spans="1:9" ht="60" x14ac:dyDescent="0.25">
      <c r="A16" s="5"/>
      <c r="B16" s="1" t="s">
        <v>6</v>
      </c>
      <c r="C16" s="4" t="s">
        <v>7</v>
      </c>
      <c r="D16" s="1" t="s">
        <v>8</v>
      </c>
      <c r="E16" s="4" t="s">
        <v>9</v>
      </c>
      <c r="F16" s="1" t="s">
        <v>1</v>
      </c>
      <c r="G16" s="1" t="s">
        <v>0</v>
      </c>
      <c r="H16" s="10" t="s">
        <v>24</v>
      </c>
      <c r="I16" s="11" t="s">
        <v>25</v>
      </c>
    </row>
    <row r="17" spans="1:9" x14ac:dyDescent="0.25">
      <c r="A17" s="1" t="s">
        <v>10</v>
      </c>
      <c r="B17">
        <v>143.33199999999999</v>
      </c>
      <c r="C17">
        <v>151.19999999999999</v>
      </c>
      <c r="D17">
        <v>3.2549999999999999</v>
      </c>
      <c r="E17">
        <v>1.7649999999999999</v>
      </c>
      <c r="F17">
        <v>2.2440000000000002</v>
      </c>
      <c r="G17">
        <v>0.77500000000000002</v>
      </c>
      <c r="H17">
        <v>3.29</v>
      </c>
      <c r="I17">
        <v>2.2130000000000001</v>
      </c>
    </row>
    <row r="18" spans="1:9" x14ac:dyDescent="0.25">
      <c r="A18" s="1" t="s">
        <v>11</v>
      </c>
      <c r="B18">
        <v>99.855000000000004</v>
      </c>
      <c r="C18">
        <v>157.47800000000001</v>
      </c>
      <c r="D18">
        <v>3.008</v>
      </c>
      <c r="E18">
        <v>1.498</v>
      </c>
      <c r="F18">
        <v>1.9690000000000001</v>
      </c>
      <c r="G18">
        <v>0.998</v>
      </c>
      <c r="H18">
        <v>3.43</v>
      </c>
      <c r="I18">
        <v>2.202</v>
      </c>
    </row>
    <row r="19" spans="1:9" x14ac:dyDescent="0.25">
      <c r="A19" s="1" t="s">
        <v>12</v>
      </c>
      <c r="B19">
        <v>148.94399999999999</v>
      </c>
      <c r="C19">
        <v>144.88</v>
      </c>
      <c r="D19">
        <v>2.516</v>
      </c>
      <c r="E19">
        <v>1.494</v>
      </c>
      <c r="F19">
        <v>2.1669999999999998</v>
      </c>
      <c r="G19">
        <v>1.252</v>
      </c>
      <c r="H19">
        <v>3.6019999999999999</v>
      </c>
      <c r="I19">
        <v>2.1880000000000002</v>
      </c>
    </row>
    <row r="20" spans="1:9" x14ac:dyDescent="0.25">
      <c r="A20" s="1" t="s">
        <v>13</v>
      </c>
      <c r="B20">
        <v>144.47999999999999</v>
      </c>
      <c r="C20">
        <v>137.624</v>
      </c>
      <c r="D20">
        <v>3.6739999999999999</v>
      </c>
      <c r="E20">
        <v>1.647</v>
      </c>
      <c r="F20">
        <v>2.569</v>
      </c>
      <c r="G20">
        <v>1.1120000000000001</v>
      </c>
      <c r="H20">
        <v>3.6560000000000001</v>
      </c>
      <c r="I20">
        <v>2.1579999999999999</v>
      </c>
    </row>
    <row r="21" spans="1:9" x14ac:dyDescent="0.25">
      <c r="A21" s="1" t="s">
        <v>14</v>
      </c>
      <c r="B21">
        <v>124.994</v>
      </c>
      <c r="C21">
        <v>160.55699999999999</v>
      </c>
      <c r="D21">
        <v>3.1949999999999998</v>
      </c>
      <c r="E21">
        <v>2.427</v>
      </c>
      <c r="F21">
        <v>2.7959999999999998</v>
      </c>
      <c r="G21">
        <v>1.0840000000000001</v>
      </c>
      <c r="H21">
        <v>3.6110000000000002</v>
      </c>
      <c r="I21">
        <v>2.1829999999999998</v>
      </c>
    </row>
    <row r="25" spans="1:9" x14ac:dyDescent="0.25">
      <c r="A25" s="14" t="s">
        <v>21</v>
      </c>
      <c r="B25" s="14"/>
      <c r="C25" s="14"/>
      <c r="D25" s="14"/>
      <c r="E25" s="14"/>
      <c r="F25" s="14"/>
      <c r="G25" s="14"/>
    </row>
    <row r="26" spans="1:9" x14ac:dyDescent="0.25">
      <c r="A26" s="17" t="s">
        <v>15</v>
      </c>
      <c r="B26" s="16"/>
      <c r="C26" s="16"/>
      <c r="D26" s="16"/>
      <c r="E26" s="16"/>
      <c r="F26" s="16"/>
      <c r="G26" s="18"/>
    </row>
    <row r="27" spans="1:9" ht="60" x14ac:dyDescent="0.25">
      <c r="A27" s="5"/>
      <c r="B27" s="1" t="s">
        <v>6</v>
      </c>
      <c r="C27" s="4" t="s">
        <v>7</v>
      </c>
      <c r="D27" s="1" t="s">
        <v>8</v>
      </c>
      <c r="E27" s="4" t="s">
        <v>9</v>
      </c>
      <c r="F27" s="1" t="s">
        <v>1</v>
      </c>
      <c r="G27" s="1" t="s">
        <v>0</v>
      </c>
      <c r="H27" s="10" t="s">
        <v>24</v>
      </c>
      <c r="I27" s="11" t="s">
        <v>25</v>
      </c>
    </row>
    <row r="28" spans="1:9" x14ac:dyDescent="0.25">
      <c r="A28" s="1" t="s">
        <v>10</v>
      </c>
      <c r="B28">
        <v>82.251000000000005</v>
      </c>
      <c r="C28">
        <v>76.346999999999994</v>
      </c>
      <c r="D28">
        <v>5.5640000000000001</v>
      </c>
      <c r="E28">
        <v>1.954</v>
      </c>
      <c r="F28">
        <v>1.9410000000000001</v>
      </c>
      <c r="G28">
        <v>0.77500000000000002</v>
      </c>
      <c r="H28">
        <v>3.552</v>
      </c>
      <c r="I28">
        <v>2.1509999999999998</v>
      </c>
    </row>
    <row r="29" spans="1:9" x14ac:dyDescent="0.25">
      <c r="A29" s="1" t="s">
        <v>11</v>
      </c>
      <c r="B29">
        <v>70.332999999999998</v>
      </c>
      <c r="C29">
        <v>67.631</v>
      </c>
      <c r="D29">
        <v>9.0960000000000001</v>
      </c>
      <c r="E29">
        <v>1.536</v>
      </c>
      <c r="F29">
        <v>2.2949999999999999</v>
      </c>
      <c r="G29">
        <v>0.998</v>
      </c>
      <c r="H29">
        <v>3.609</v>
      </c>
      <c r="I29">
        <v>2.3460000000000001</v>
      </c>
    </row>
    <row r="30" spans="1:9" x14ac:dyDescent="0.25">
      <c r="A30" s="1" t="s">
        <v>12</v>
      </c>
      <c r="B30">
        <v>77.191999999999993</v>
      </c>
      <c r="C30">
        <v>78.596000000000004</v>
      </c>
      <c r="D30">
        <v>2.528</v>
      </c>
      <c r="E30">
        <v>1.4570000000000001</v>
      </c>
      <c r="F30">
        <v>2.3340000000000001</v>
      </c>
      <c r="G30">
        <v>1.252</v>
      </c>
      <c r="H30">
        <v>3.5059999999999998</v>
      </c>
      <c r="I30">
        <v>2.1219999999999999</v>
      </c>
    </row>
    <row r="31" spans="1:9" x14ac:dyDescent="0.25">
      <c r="A31" s="1" t="s">
        <v>13</v>
      </c>
      <c r="B31">
        <v>70.548000000000002</v>
      </c>
      <c r="C31">
        <v>74.162999999999997</v>
      </c>
      <c r="D31">
        <v>3.0609999999999999</v>
      </c>
      <c r="E31">
        <v>1.4830000000000001</v>
      </c>
      <c r="F31">
        <v>2.2160000000000002</v>
      </c>
      <c r="G31">
        <v>1.1120000000000001</v>
      </c>
      <c r="H31">
        <v>3.633</v>
      </c>
      <c r="I31">
        <v>2.1960000000000002</v>
      </c>
    </row>
    <row r="32" spans="1:9" x14ac:dyDescent="0.25">
      <c r="A32" s="1" t="s">
        <v>14</v>
      </c>
      <c r="B32">
        <v>68.435000000000002</v>
      </c>
      <c r="C32">
        <v>72.037000000000006</v>
      </c>
      <c r="D32">
        <v>5.5010000000000003</v>
      </c>
      <c r="E32">
        <v>1.589</v>
      </c>
      <c r="F32">
        <v>2.6560000000000001</v>
      </c>
      <c r="G32">
        <v>1.0840000000000001</v>
      </c>
      <c r="H32">
        <v>3.5019999999999998</v>
      </c>
      <c r="I32">
        <v>2.1829999999999998</v>
      </c>
    </row>
    <row r="36" spans="1:9" x14ac:dyDescent="0.25">
      <c r="A36" s="14" t="s">
        <v>22</v>
      </c>
      <c r="B36" s="14"/>
      <c r="C36" s="14"/>
      <c r="D36" s="14"/>
      <c r="E36" s="14"/>
      <c r="F36" s="14"/>
      <c r="G36" s="14"/>
    </row>
    <row r="37" spans="1:9" x14ac:dyDescent="0.25">
      <c r="A37" s="17" t="s">
        <v>15</v>
      </c>
      <c r="B37" s="16"/>
      <c r="C37" s="16"/>
      <c r="D37" s="16"/>
      <c r="E37" s="16"/>
      <c r="F37" s="16"/>
      <c r="G37" s="18"/>
    </row>
    <row r="38" spans="1:9" ht="60" x14ac:dyDescent="0.25">
      <c r="A38" s="5"/>
      <c r="B38" s="1" t="s">
        <v>6</v>
      </c>
      <c r="C38" s="4" t="s">
        <v>7</v>
      </c>
      <c r="D38" s="1" t="s">
        <v>8</v>
      </c>
      <c r="E38" s="4" t="s">
        <v>9</v>
      </c>
      <c r="F38" s="1" t="s">
        <v>1</v>
      </c>
      <c r="G38" s="1" t="s">
        <v>0</v>
      </c>
      <c r="H38" s="10" t="s">
        <v>24</v>
      </c>
      <c r="I38" s="11" t="s">
        <v>25</v>
      </c>
    </row>
    <row r="39" spans="1:9" x14ac:dyDescent="0.25">
      <c r="A39" s="1" t="s">
        <v>10</v>
      </c>
      <c r="B39">
        <v>49.95</v>
      </c>
      <c r="C39">
        <v>48.164000000000001</v>
      </c>
      <c r="D39">
        <v>5.0270000000000001</v>
      </c>
      <c r="E39">
        <v>1.3049999999999999</v>
      </c>
      <c r="F39">
        <v>1.847</v>
      </c>
      <c r="G39">
        <v>0.77500000000000002</v>
      </c>
      <c r="H39">
        <v>3.7080000000000002</v>
      </c>
      <c r="I39">
        <v>2.992</v>
      </c>
    </row>
    <row r="40" spans="1:9" x14ac:dyDescent="0.25">
      <c r="A40" s="1" t="s">
        <v>11</v>
      </c>
      <c r="B40">
        <v>48.927</v>
      </c>
      <c r="C40">
        <v>50.220999999999997</v>
      </c>
      <c r="D40">
        <v>2.242</v>
      </c>
      <c r="E40">
        <v>1.33</v>
      </c>
      <c r="F40">
        <v>2.2999999999999998</v>
      </c>
      <c r="G40">
        <v>0.998</v>
      </c>
      <c r="H40">
        <v>4.0490000000000004</v>
      </c>
      <c r="I40">
        <v>3.0870000000000002</v>
      </c>
    </row>
    <row r="41" spans="1:9" x14ac:dyDescent="0.25">
      <c r="A41" s="1" t="s">
        <v>12</v>
      </c>
      <c r="B41">
        <v>50.481999999999999</v>
      </c>
      <c r="C41">
        <v>49.325000000000003</v>
      </c>
      <c r="D41">
        <v>4.2190000000000003</v>
      </c>
      <c r="E41">
        <v>1.22</v>
      </c>
      <c r="F41">
        <v>2.1579999999999999</v>
      </c>
      <c r="G41">
        <v>1.252</v>
      </c>
      <c r="H41">
        <v>3.8740000000000001</v>
      </c>
      <c r="I41">
        <v>3.363</v>
      </c>
    </row>
    <row r="42" spans="1:9" x14ac:dyDescent="0.25">
      <c r="A42" s="1" t="s">
        <v>13</v>
      </c>
      <c r="B42">
        <v>48.966999999999999</v>
      </c>
      <c r="C42">
        <v>46.488999999999997</v>
      </c>
      <c r="D42">
        <v>6.5289999999999999</v>
      </c>
      <c r="E42">
        <v>1.679</v>
      </c>
      <c r="F42">
        <v>2.0579999999999998</v>
      </c>
      <c r="G42">
        <v>1.1120000000000001</v>
      </c>
      <c r="H42">
        <v>4.8460000000000001</v>
      </c>
      <c r="I42">
        <v>3.0230000000000001</v>
      </c>
    </row>
    <row r="43" spans="1:9" x14ac:dyDescent="0.25">
      <c r="A43" s="1" t="s">
        <v>14</v>
      </c>
      <c r="B43">
        <v>48.271999999999998</v>
      </c>
      <c r="C43">
        <v>47.212000000000003</v>
      </c>
      <c r="D43">
        <v>3.621</v>
      </c>
      <c r="E43">
        <v>1.419</v>
      </c>
      <c r="F43">
        <v>2.4239999999999999</v>
      </c>
      <c r="G43">
        <v>1.0840000000000001</v>
      </c>
      <c r="H43">
        <v>3.758</v>
      </c>
      <c r="I43">
        <v>3.2570000000000001</v>
      </c>
    </row>
    <row r="50" spans="1:9" x14ac:dyDescent="0.25">
      <c r="A50" s="13" t="s">
        <v>17</v>
      </c>
      <c r="B50" s="13"/>
      <c r="C50" s="13"/>
      <c r="D50" s="13"/>
      <c r="E50" s="13"/>
      <c r="F50" s="13"/>
      <c r="G50" s="13"/>
    </row>
    <row r="51" spans="1:9" ht="60" x14ac:dyDescent="0.25">
      <c r="A51" s="3"/>
      <c r="B51" s="1" t="s">
        <v>6</v>
      </c>
      <c r="C51" s="4" t="s">
        <v>7</v>
      </c>
      <c r="D51" s="1" t="s">
        <v>8</v>
      </c>
      <c r="E51" s="4" t="s">
        <v>9</v>
      </c>
      <c r="F51" s="1" t="s">
        <v>1</v>
      </c>
      <c r="G51" s="1" t="s">
        <v>0</v>
      </c>
      <c r="H51" s="10" t="s">
        <v>28</v>
      </c>
      <c r="I51" s="11" t="s">
        <v>27</v>
      </c>
    </row>
    <row r="52" spans="1:9" x14ac:dyDescent="0.25">
      <c r="A52" s="7">
        <v>0.15</v>
      </c>
      <c r="B52">
        <f t="shared" ref="B52:G52" si="0">AVERAGE(B5:B9)</f>
        <v>91.754599999999996</v>
      </c>
      <c r="C52">
        <f t="shared" si="0"/>
        <v>84.063200000000009</v>
      </c>
      <c r="D52">
        <f t="shared" si="0"/>
        <v>3.1605999999999996</v>
      </c>
      <c r="E52">
        <f t="shared" si="0"/>
        <v>2.1703999999999999</v>
      </c>
      <c r="F52">
        <f t="shared" si="0"/>
        <v>2.0771999999999999</v>
      </c>
      <c r="G52">
        <f t="shared" si="0"/>
        <v>1.0442</v>
      </c>
      <c r="H52">
        <f>AVERAGE(H5:H9)</f>
        <v>3.7113999999999998</v>
      </c>
      <c r="I52">
        <f>AVERAGE(I5:I9)</f>
        <v>2.2378</v>
      </c>
    </row>
    <row r="53" spans="1:9" x14ac:dyDescent="0.25">
      <c r="A53" s="8">
        <v>0.35</v>
      </c>
      <c r="B53">
        <f t="shared" ref="B53:G53" si="1">AVERAGE(B17:B21)</f>
        <v>132.321</v>
      </c>
      <c r="C53">
        <f t="shared" si="1"/>
        <v>150.34780000000001</v>
      </c>
      <c r="D53">
        <f t="shared" si="1"/>
        <v>3.1295999999999999</v>
      </c>
      <c r="E53">
        <f t="shared" si="1"/>
        <v>1.7662</v>
      </c>
      <c r="F53">
        <f t="shared" si="1"/>
        <v>2.3489999999999998</v>
      </c>
      <c r="G53">
        <f t="shared" si="1"/>
        <v>1.0442</v>
      </c>
      <c r="H53">
        <f>AVERAGE(H17:H21)</f>
        <v>3.5178000000000003</v>
      </c>
      <c r="I53">
        <f>AVERAGE(I17:I21)</f>
        <v>2.1887999999999996</v>
      </c>
    </row>
    <row r="54" spans="1:9" x14ac:dyDescent="0.25">
      <c r="A54" s="8">
        <v>0.55000000000000004</v>
      </c>
      <c r="B54">
        <f t="shared" ref="B54:G54" si="2">AVERAGE(B28:B32)</f>
        <v>73.751800000000003</v>
      </c>
      <c r="C54">
        <f t="shared" si="2"/>
        <v>73.754800000000003</v>
      </c>
      <c r="D54">
        <f t="shared" si="2"/>
        <v>5.15</v>
      </c>
      <c r="E54">
        <f t="shared" si="2"/>
        <v>1.6038000000000001</v>
      </c>
      <c r="F54">
        <f t="shared" si="2"/>
        <v>2.2884000000000002</v>
      </c>
      <c r="G54">
        <f t="shared" si="2"/>
        <v>1.0442</v>
      </c>
      <c r="H54">
        <f>AVERAGE(H28:H32)</f>
        <v>3.5604</v>
      </c>
      <c r="I54">
        <f>AVERAGE(I28:I32)</f>
        <v>2.1995999999999998</v>
      </c>
    </row>
    <row r="55" spans="1:9" x14ac:dyDescent="0.25">
      <c r="A55" s="8">
        <v>0.7</v>
      </c>
      <c r="B55">
        <f>AVERAGE(B39:B43)</f>
        <v>49.319600000000001</v>
      </c>
      <c r="C55">
        <f t="shared" ref="C55:G55" si="3">AVERAGE(C39:C43)</f>
        <v>48.282200000000003</v>
      </c>
      <c r="D55">
        <f t="shared" si="3"/>
        <v>4.3275999999999994</v>
      </c>
      <c r="E55">
        <f t="shared" si="3"/>
        <v>1.3905999999999998</v>
      </c>
      <c r="F55">
        <f t="shared" si="3"/>
        <v>2.1574</v>
      </c>
      <c r="G55">
        <f t="shared" si="3"/>
        <v>1.0442</v>
      </c>
      <c r="H55">
        <f>AVERAGE(H39:H43)</f>
        <v>4.0469999999999997</v>
      </c>
      <c r="I55">
        <f>AVERAGE(I39:I43)</f>
        <v>3.1444000000000001</v>
      </c>
    </row>
  </sheetData>
  <mergeCells count="9">
    <mergeCell ref="A50:G50"/>
    <mergeCell ref="A36:G36"/>
    <mergeCell ref="A37:G37"/>
    <mergeCell ref="A2:G2"/>
    <mergeCell ref="A3:G3"/>
    <mergeCell ref="A14:G14"/>
    <mergeCell ref="A15:G15"/>
    <mergeCell ref="A25:G25"/>
    <mergeCell ref="A26:G2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5"/>
  <sheetViews>
    <sheetView topLeftCell="B77" zoomScale="70" zoomScaleNormal="70" workbookViewId="0">
      <selection activeCell="L120" sqref="L120"/>
    </sheetView>
  </sheetViews>
  <sheetFormatPr defaultRowHeight="15" x14ac:dyDescent="0.25"/>
  <cols>
    <col min="1" max="1" width="13.5703125" bestFit="1" customWidth="1"/>
    <col min="2" max="2" width="15.85546875" bestFit="1" customWidth="1"/>
    <col min="3" max="3" width="24" bestFit="1" customWidth="1"/>
    <col min="4" max="4" width="38.28515625" bestFit="1" customWidth="1"/>
    <col min="5" max="5" width="23.28515625" bestFit="1" customWidth="1"/>
    <col min="6" max="6" width="9.5703125" bestFit="1" customWidth="1"/>
    <col min="8" max="8" width="21.85546875" bestFit="1" customWidth="1"/>
    <col min="9" max="9" width="23.28515625" bestFit="1" customWidth="1"/>
  </cols>
  <sheetData>
    <row r="1" spans="1:9" x14ac:dyDescent="0.25">
      <c r="A1" s="14" t="s">
        <v>19</v>
      </c>
      <c r="B1" s="14"/>
      <c r="C1" s="14"/>
      <c r="D1" s="14"/>
      <c r="E1" s="14"/>
      <c r="F1" s="14"/>
      <c r="G1" s="14"/>
    </row>
    <row r="2" spans="1:9" x14ac:dyDescent="0.25">
      <c r="A2" s="15" t="s">
        <v>16</v>
      </c>
      <c r="B2" s="15"/>
      <c r="C2" s="15"/>
      <c r="D2" s="15"/>
      <c r="E2" s="15"/>
      <c r="F2" s="15"/>
      <c r="G2" s="15"/>
    </row>
    <row r="3" spans="1:9" ht="45" x14ac:dyDescent="0.25">
      <c r="A3" s="3"/>
      <c r="B3" s="1" t="s">
        <v>6</v>
      </c>
      <c r="C3" s="4" t="s">
        <v>7</v>
      </c>
      <c r="D3" s="1" t="s">
        <v>8</v>
      </c>
      <c r="E3" s="4" t="s">
        <v>9</v>
      </c>
      <c r="F3" s="1" t="s">
        <v>1</v>
      </c>
      <c r="G3" s="1" t="s">
        <v>0</v>
      </c>
      <c r="H3" s="10" t="s">
        <v>24</v>
      </c>
      <c r="I3" s="11" t="s">
        <v>25</v>
      </c>
    </row>
    <row r="4" spans="1:9" x14ac:dyDescent="0.25">
      <c r="A4" s="1" t="s">
        <v>10</v>
      </c>
      <c r="B4">
        <v>0</v>
      </c>
      <c r="C4">
        <v>0</v>
      </c>
      <c r="D4">
        <v>0</v>
      </c>
      <c r="E4">
        <v>0</v>
      </c>
      <c r="F4">
        <v>0.26400000000000001</v>
      </c>
      <c r="G4">
        <v>0.26700000000000002</v>
      </c>
      <c r="H4">
        <v>0</v>
      </c>
      <c r="I4">
        <v>2.8400000000000002E-2</v>
      </c>
    </row>
    <row r="5" spans="1:9" x14ac:dyDescent="0.25">
      <c r="A5" s="1" t="s">
        <v>11</v>
      </c>
      <c r="B5">
        <v>0</v>
      </c>
      <c r="C5">
        <v>0</v>
      </c>
      <c r="D5">
        <v>0</v>
      </c>
      <c r="E5">
        <v>0</v>
      </c>
      <c r="F5">
        <v>0.2586</v>
      </c>
      <c r="G5">
        <v>0.248</v>
      </c>
      <c r="H5">
        <v>0</v>
      </c>
      <c r="I5">
        <v>3.9079999999999997E-2</v>
      </c>
    </row>
    <row r="6" spans="1:9" x14ac:dyDescent="0.25">
      <c r="A6" s="1" t="s">
        <v>12</v>
      </c>
      <c r="B6">
        <v>0</v>
      </c>
      <c r="C6">
        <v>0</v>
      </c>
      <c r="D6">
        <v>0</v>
      </c>
      <c r="E6">
        <v>0</v>
      </c>
      <c r="F6">
        <v>0.26500000000000001</v>
      </c>
      <c r="G6">
        <v>0.247</v>
      </c>
      <c r="H6">
        <v>0</v>
      </c>
      <c r="I6">
        <v>2.5999999999999999E-2</v>
      </c>
    </row>
    <row r="7" spans="1:9" x14ac:dyDescent="0.25">
      <c r="A7" s="1" t="s">
        <v>13</v>
      </c>
      <c r="B7">
        <v>0</v>
      </c>
      <c r="C7">
        <v>0</v>
      </c>
      <c r="D7">
        <v>0</v>
      </c>
      <c r="E7">
        <v>0</v>
      </c>
      <c r="F7">
        <v>0.25900000000000001</v>
      </c>
      <c r="G7">
        <v>0.247</v>
      </c>
      <c r="H7">
        <v>0</v>
      </c>
      <c r="I7">
        <v>2.87E-2</v>
      </c>
    </row>
    <row r="8" spans="1:9" x14ac:dyDescent="0.25">
      <c r="A8" s="1" t="s">
        <v>14</v>
      </c>
      <c r="B8">
        <v>0</v>
      </c>
      <c r="C8">
        <v>0</v>
      </c>
      <c r="D8">
        <v>0</v>
      </c>
      <c r="E8">
        <v>0</v>
      </c>
      <c r="F8">
        <v>0.26100000000000001</v>
      </c>
      <c r="G8">
        <v>0.247</v>
      </c>
      <c r="H8">
        <v>0</v>
      </c>
      <c r="I8">
        <v>3.3059999999999999E-2</v>
      </c>
    </row>
    <row r="10" spans="1:9" x14ac:dyDescent="0.25">
      <c r="A10" s="19" t="s">
        <v>3</v>
      </c>
      <c r="B10" s="19"/>
      <c r="C10" s="19"/>
    </row>
    <row r="11" spans="1:9" x14ac:dyDescent="0.25">
      <c r="B11" s="1" t="s">
        <v>0</v>
      </c>
      <c r="C11" s="1" t="s">
        <v>1</v>
      </c>
      <c r="D11" s="10" t="s">
        <v>24</v>
      </c>
      <c r="E11" s="11" t="s">
        <v>25</v>
      </c>
    </row>
    <row r="12" spans="1:9" x14ac:dyDescent="0.25">
      <c r="A12" s="1" t="s">
        <v>10</v>
      </c>
      <c r="B12" s="2">
        <v>0.29070000000000001</v>
      </c>
      <c r="C12" s="2">
        <v>0.28766999999999998</v>
      </c>
      <c r="D12" s="12">
        <v>0</v>
      </c>
      <c r="E12" s="2">
        <v>2.4799999999999999E-2</v>
      </c>
    </row>
    <row r="13" spans="1:9" x14ac:dyDescent="0.25">
      <c r="A13" s="1" t="s">
        <v>11</v>
      </c>
      <c r="B13" s="2">
        <v>0.27074300000000001</v>
      </c>
      <c r="C13" s="2">
        <v>0.28753000000000001</v>
      </c>
      <c r="D13" s="12">
        <v>0</v>
      </c>
      <c r="E13" s="2">
        <v>3.7949999999999998E-2</v>
      </c>
    </row>
    <row r="14" spans="1:9" x14ac:dyDescent="0.25">
      <c r="A14" s="1" t="s">
        <v>12</v>
      </c>
      <c r="B14" s="2">
        <v>0.26928999999999997</v>
      </c>
      <c r="C14" s="2">
        <v>0.28239999999999998</v>
      </c>
      <c r="D14" s="12">
        <v>0</v>
      </c>
      <c r="E14" s="2">
        <v>3.1212239999999999E-2</v>
      </c>
    </row>
    <row r="15" spans="1:9" x14ac:dyDescent="0.25">
      <c r="A15" s="1" t="s">
        <v>13</v>
      </c>
      <c r="B15" s="2">
        <v>0.26923000000000002</v>
      </c>
      <c r="C15" s="2">
        <v>0.28449999999999998</v>
      </c>
      <c r="D15" s="12">
        <v>0</v>
      </c>
      <c r="E15" s="2">
        <v>2.7404999999999999E-2</v>
      </c>
    </row>
    <row r="16" spans="1:9" x14ac:dyDescent="0.25">
      <c r="A16" s="1" t="s">
        <v>14</v>
      </c>
      <c r="B16" s="2">
        <v>0.26934999999999998</v>
      </c>
      <c r="C16" s="2">
        <v>0.30046</v>
      </c>
      <c r="D16" s="12">
        <v>0</v>
      </c>
      <c r="E16" s="2">
        <v>2.8614000000000001E-2</v>
      </c>
    </row>
    <row r="17" spans="1:9" x14ac:dyDescent="0.25">
      <c r="E17" s="2"/>
    </row>
    <row r="21" spans="1:9" x14ac:dyDescent="0.25">
      <c r="A21" s="14" t="s">
        <v>20</v>
      </c>
      <c r="B21" s="14"/>
      <c r="C21" s="14"/>
      <c r="D21" s="14"/>
      <c r="E21" s="14"/>
      <c r="F21" s="14"/>
      <c r="G21" s="14"/>
    </row>
    <row r="22" spans="1:9" x14ac:dyDescent="0.25">
      <c r="A22" s="15" t="s">
        <v>16</v>
      </c>
      <c r="B22" s="15"/>
      <c r="C22" s="15"/>
      <c r="D22" s="15"/>
      <c r="E22" s="15"/>
      <c r="F22" s="15"/>
      <c r="G22" s="15"/>
    </row>
    <row r="23" spans="1:9" ht="45" x14ac:dyDescent="0.25">
      <c r="A23" s="3"/>
      <c r="B23" s="1" t="s">
        <v>6</v>
      </c>
      <c r="C23" s="4" t="s">
        <v>7</v>
      </c>
      <c r="D23" s="1" t="s">
        <v>8</v>
      </c>
      <c r="E23" s="4" t="s">
        <v>9</v>
      </c>
      <c r="F23" s="1" t="s">
        <v>1</v>
      </c>
      <c r="G23" s="1" t="s">
        <v>0</v>
      </c>
      <c r="H23" s="10" t="s">
        <v>24</v>
      </c>
      <c r="I23" s="11" t="s">
        <v>25</v>
      </c>
    </row>
    <row r="24" spans="1:9" x14ac:dyDescent="0.25">
      <c r="A24" s="1" t="s">
        <v>10</v>
      </c>
      <c r="B24">
        <v>0</v>
      </c>
      <c r="C24">
        <v>0</v>
      </c>
      <c r="D24">
        <v>0</v>
      </c>
      <c r="E24">
        <v>0</v>
      </c>
      <c r="F24">
        <v>0.25700000000000001</v>
      </c>
      <c r="G24">
        <v>0.26700000000000002</v>
      </c>
      <c r="H24">
        <v>0</v>
      </c>
      <c r="I24">
        <v>2.2290000000000001E-2</v>
      </c>
    </row>
    <row r="25" spans="1:9" x14ac:dyDescent="0.25">
      <c r="A25" s="1" t="s">
        <v>11</v>
      </c>
      <c r="B25">
        <v>0</v>
      </c>
      <c r="C25">
        <v>0</v>
      </c>
      <c r="D25">
        <v>0</v>
      </c>
      <c r="E25">
        <v>0</v>
      </c>
      <c r="F25">
        <v>0.26</v>
      </c>
      <c r="G25">
        <v>0.248</v>
      </c>
      <c r="H25">
        <v>0</v>
      </c>
      <c r="I25">
        <v>2.1700000000000001E-2</v>
      </c>
    </row>
    <row r="26" spans="1:9" x14ac:dyDescent="0.25">
      <c r="A26" s="1" t="s">
        <v>12</v>
      </c>
      <c r="B26">
        <v>0</v>
      </c>
      <c r="C26">
        <v>0</v>
      </c>
      <c r="D26">
        <v>0</v>
      </c>
      <c r="E26">
        <v>0</v>
      </c>
      <c r="F26">
        <v>0.26</v>
      </c>
      <c r="G26">
        <v>0.247</v>
      </c>
      <c r="H26">
        <v>0</v>
      </c>
      <c r="I26">
        <v>2.4299999999999999E-2</v>
      </c>
    </row>
    <row r="27" spans="1:9" x14ac:dyDescent="0.25">
      <c r="A27" s="1" t="s">
        <v>13</v>
      </c>
      <c r="B27">
        <v>0</v>
      </c>
      <c r="C27">
        <v>0</v>
      </c>
      <c r="D27">
        <v>0</v>
      </c>
      <c r="E27">
        <v>0</v>
      </c>
      <c r="F27">
        <v>0.25800000000000001</v>
      </c>
      <c r="G27">
        <v>0.247</v>
      </c>
      <c r="H27">
        <v>0</v>
      </c>
      <c r="I27">
        <v>3.8800000000000001E-2</v>
      </c>
    </row>
    <row r="28" spans="1:9" x14ac:dyDescent="0.25">
      <c r="A28" s="1" t="s">
        <v>14</v>
      </c>
      <c r="B28">
        <v>0</v>
      </c>
      <c r="C28">
        <v>0</v>
      </c>
      <c r="D28">
        <v>0</v>
      </c>
      <c r="E28">
        <v>0</v>
      </c>
      <c r="F28">
        <v>0.255</v>
      </c>
      <c r="G28">
        <v>0.247</v>
      </c>
      <c r="H28">
        <v>0</v>
      </c>
      <c r="I28">
        <v>2.06E-2</v>
      </c>
    </row>
    <row r="30" spans="1:9" x14ac:dyDescent="0.25">
      <c r="A30" s="19" t="s">
        <v>3</v>
      </c>
      <c r="B30" s="19"/>
      <c r="C30" s="19"/>
    </row>
    <row r="31" spans="1:9" x14ac:dyDescent="0.25">
      <c r="B31" s="1" t="s">
        <v>0</v>
      </c>
      <c r="C31" s="1" t="s">
        <v>1</v>
      </c>
      <c r="D31" s="10" t="s">
        <v>24</v>
      </c>
      <c r="E31" s="11" t="s">
        <v>25</v>
      </c>
    </row>
    <row r="32" spans="1:9" x14ac:dyDescent="0.25">
      <c r="A32" s="1" t="s">
        <v>10</v>
      </c>
      <c r="B32" s="2">
        <v>0.29070000000000001</v>
      </c>
      <c r="C32" s="2">
        <v>0.28333999999999998</v>
      </c>
      <c r="D32" s="2">
        <v>0</v>
      </c>
      <c r="E32" s="2">
        <v>1.8509999999999999E-2</v>
      </c>
    </row>
    <row r="33" spans="1:9" x14ac:dyDescent="0.25">
      <c r="A33" s="1" t="s">
        <v>11</v>
      </c>
      <c r="B33" s="2">
        <v>0.27074300000000001</v>
      </c>
      <c r="C33" s="2">
        <v>0.29216999999999999</v>
      </c>
      <c r="D33" s="2">
        <v>0</v>
      </c>
      <c r="E33" s="2">
        <v>2.0149E-2</v>
      </c>
    </row>
    <row r="34" spans="1:9" x14ac:dyDescent="0.25">
      <c r="A34" s="1" t="s">
        <v>12</v>
      </c>
      <c r="B34" s="2">
        <v>0.26928999999999997</v>
      </c>
      <c r="C34" s="2">
        <v>0.28372999999999998</v>
      </c>
      <c r="D34" s="2">
        <v>0</v>
      </c>
      <c r="E34" s="2">
        <v>2.0539000000000002E-2</v>
      </c>
    </row>
    <row r="35" spans="1:9" x14ac:dyDescent="0.25">
      <c r="A35" s="1" t="s">
        <v>13</v>
      </c>
      <c r="B35" s="2">
        <v>0.26923000000000002</v>
      </c>
      <c r="C35" s="2">
        <v>0.28162999999999999</v>
      </c>
      <c r="D35" s="2">
        <v>0</v>
      </c>
      <c r="E35" s="2">
        <v>3.39E-2</v>
      </c>
    </row>
    <row r="36" spans="1:9" x14ac:dyDescent="0.25">
      <c r="A36" s="1" t="s">
        <v>14</v>
      </c>
      <c r="B36" s="2">
        <v>0.26934999999999998</v>
      </c>
      <c r="C36" s="2">
        <v>0.27804000000000001</v>
      </c>
      <c r="D36" s="2">
        <v>0</v>
      </c>
      <c r="E36" s="2">
        <v>2.5659999999999999E-2</v>
      </c>
    </row>
    <row r="40" spans="1:9" x14ac:dyDescent="0.25">
      <c r="A40" s="14" t="s">
        <v>21</v>
      </c>
      <c r="B40" s="14"/>
      <c r="C40" s="14"/>
      <c r="D40" s="14"/>
      <c r="E40" s="14"/>
      <c r="F40" s="14"/>
      <c r="G40" s="14"/>
    </row>
    <row r="41" spans="1:9" x14ac:dyDescent="0.25">
      <c r="A41" s="15" t="s">
        <v>16</v>
      </c>
      <c r="B41" s="15"/>
      <c r="C41" s="15"/>
      <c r="D41" s="15"/>
      <c r="E41" s="15"/>
      <c r="F41" s="15"/>
      <c r="G41" s="15"/>
    </row>
    <row r="42" spans="1:9" ht="45" x14ac:dyDescent="0.25">
      <c r="A42" s="3"/>
      <c r="B42" s="1" t="s">
        <v>6</v>
      </c>
      <c r="C42" s="4" t="s">
        <v>7</v>
      </c>
      <c r="D42" s="1" t="s">
        <v>8</v>
      </c>
      <c r="E42" s="4" t="s">
        <v>9</v>
      </c>
      <c r="F42" s="1" t="s">
        <v>1</v>
      </c>
      <c r="G42" s="1" t="s">
        <v>0</v>
      </c>
      <c r="H42" s="10" t="s">
        <v>24</v>
      </c>
      <c r="I42" s="11" t="s">
        <v>25</v>
      </c>
    </row>
    <row r="43" spans="1:9" x14ac:dyDescent="0.25">
      <c r="A43" s="1" t="s">
        <v>10</v>
      </c>
      <c r="B43">
        <v>0</v>
      </c>
      <c r="C43">
        <v>0</v>
      </c>
      <c r="D43">
        <v>0</v>
      </c>
      <c r="E43">
        <v>0</v>
      </c>
      <c r="F43">
        <v>0.28499999999999998</v>
      </c>
      <c r="G43">
        <v>0.26700000000000002</v>
      </c>
      <c r="H43">
        <v>0</v>
      </c>
      <c r="I43">
        <v>1.9199999999999998E-2</v>
      </c>
    </row>
    <row r="44" spans="1:9" x14ac:dyDescent="0.25">
      <c r="A44" s="1" t="s">
        <v>11</v>
      </c>
      <c r="B44">
        <v>0</v>
      </c>
      <c r="C44">
        <v>0</v>
      </c>
      <c r="D44">
        <v>0</v>
      </c>
      <c r="E44">
        <v>0</v>
      </c>
      <c r="F44">
        <v>0.26200000000000001</v>
      </c>
      <c r="G44">
        <v>0.248</v>
      </c>
      <c r="H44">
        <v>0</v>
      </c>
      <c r="I44">
        <v>1.9800000000000002E-2</v>
      </c>
    </row>
    <row r="45" spans="1:9" x14ac:dyDescent="0.25">
      <c r="A45" s="1" t="s">
        <v>12</v>
      </c>
      <c r="B45">
        <v>0</v>
      </c>
      <c r="C45">
        <v>0</v>
      </c>
      <c r="D45">
        <v>0</v>
      </c>
      <c r="E45">
        <v>0</v>
      </c>
      <c r="F45">
        <v>0.253</v>
      </c>
      <c r="G45">
        <v>0.247</v>
      </c>
      <c r="H45">
        <v>0</v>
      </c>
      <c r="I45">
        <v>2.9729999999999999E-2</v>
      </c>
    </row>
    <row r="46" spans="1:9" x14ac:dyDescent="0.25">
      <c r="A46" s="1" t="s">
        <v>13</v>
      </c>
      <c r="B46">
        <v>0</v>
      </c>
      <c r="C46">
        <v>0</v>
      </c>
      <c r="D46">
        <v>0</v>
      </c>
      <c r="E46">
        <v>0</v>
      </c>
      <c r="F46">
        <v>2.5299999999999998</v>
      </c>
      <c r="G46">
        <v>0.247</v>
      </c>
      <c r="H46">
        <v>0</v>
      </c>
      <c r="I46">
        <v>2.4799999999999999E-2</v>
      </c>
    </row>
    <row r="47" spans="1:9" x14ac:dyDescent="0.25">
      <c r="A47" s="1" t="s">
        <v>14</v>
      </c>
      <c r="B47">
        <v>0</v>
      </c>
      <c r="C47">
        <v>0</v>
      </c>
      <c r="D47">
        <v>0</v>
      </c>
      <c r="E47">
        <v>0</v>
      </c>
      <c r="F47">
        <v>0.26200000000000001</v>
      </c>
      <c r="G47">
        <v>0.247</v>
      </c>
      <c r="H47">
        <v>0</v>
      </c>
      <c r="I47">
        <v>2.3449999999999999E-2</v>
      </c>
    </row>
    <row r="49" spans="1:9" x14ac:dyDescent="0.25">
      <c r="A49" s="19" t="s">
        <v>3</v>
      </c>
      <c r="B49" s="19"/>
      <c r="C49" s="19"/>
    </row>
    <row r="50" spans="1:9" x14ac:dyDescent="0.25">
      <c r="B50" s="1" t="s">
        <v>0</v>
      </c>
      <c r="C50" s="1" t="s">
        <v>1</v>
      </c>
      <c r="D50" s="10" t="s">
        <v>24</v>
      </c>
      <c r="E50" s="11" t="s">
        <v>25</v>
      </c>
    </row>
    <row r="51" spans="1:9" x14ac:dyDescent="0.25">
      <c r="A51" s="1" t="s">
        <v>10</v>
      </c>
      <c r="B51" s="2">
        <v>0.29070000000000001</v>
      </c>
      <c r="C51" s="2">
        <v>0.28673999999999999</v>
      </c>
      <c r="D51" s="12">
        <v>0</v>
      </c>
      <c r="E51" s="12">
        <v>1.6140000000000002E-2</v>
      </c>
    </row>
    <row r="52" spans="1:9" x14ac:dyDescent="0.25">
      <c r="A52" s="1" t="s">
        <v>11</v>
      </c>
      <c r="B52" s="2">
        <v>0.27074300000000001</v>
      </c>
      <c r="C52" s="2">
        <v>0.28569</v>
      </c>
      <c r="D52" s="12">
        <v>0</v>
      </c>
      <c r="E52" s="12">
        <v>3.3369999999999997E-2</v>
      </c>
    </row>
    <row r="53" spans="1:9" x14ac:dyDescent="0.25">
      <c r="A53" s="1" t="s">
        <v>12</v>
      </c>
      <c r="B53" s="2">
        <v>0.26928999999999997</v>
      </c>
      <c r="C53" s="2">
        <v>0.27600000000000002</v>
      </c>
      <c r="D53" s="12">
        <v>0</v>
      </c>
      <c r="E53" s="12">
        <v>2.1151E-2</v>
      </c>
    </row>
    <row r="54" spans="1:9" x14ac:dyDescent="0.25">
      <c r="A54" s="1" t="s">
        <v>13</v>
      </c>
      <c r="B54" s="2">
        <v>0.26923000000000002</v>
      </c>
      <c r="C54" s="2">
        <v>0.27554000000000001</v>
      </c>
      <c r="D54" s="12">
        <v>0</v>
      </c>
      <c r="E54" s="12">
        <v>2.6676999999999999E-2</v>
      </c>
    </row>
    <row r="55" spans="1:9" x14ac:dyDescent="0.25">
      <c r="A55" s="1" t="s">
        <v>14</v>
      </c>
      <c r="B55" s="2">
        <v>0.26934999999999998</v>
      </c>
      <c r="C55" s="2">
        <v>0.28581000000000001</v>
      </c>
      <c r="D55" s="12">
        <v>0</v>
      </c>
      <c r="E55" s="12">
        <v>2.8266199999999998E-2</v>
      </c>
    </row>
    <row r="59" spans="1:9" x14ac:dyDescent="0.25">
      <c r="A59" s="14" t="s">
        <v>22</v>
      </c>
      <c r="B59" s="14"/>
      <c r="C59" s="14"/>
      <c r="D59" s="14"/>
      <c r="E59" s="14"/>
      <c r="F59" s="14"/>
      <c r="G59" s="14"/>
    </row>
    <row r="60" spans="1:9" x14ac:dyDescent="0.25">
      <c r="A60" s="15" t="s">
        <v>16</v>
      </c>
      <c r="B60" s="15"/>
      <c r="C60" s="15"/>
      <c r="D60" s="15"/>
      <c r="E60" s="15"/>
      <c r="F60" s="15"/>
      <c r="G60" s="15"/>
    </row>
    <row r="61" spans="1:9" ht="45" x14ac:dyDescent="0.25">
      <c r="A61" s="3"/>
      <c r="B61" s="1" t="s">
        <v>6</v>
      </c>
      <c r="C61" s="4" t="s">
        <v>7</v>
      </c>
      <c r="D61" s="1" t="s">
        <v>8</v>
      </c>
      <c r="E61" s="4" t="s">
        <v>9</v>
      </c>
      <c r="F61" s="1" t="s">
        <v>1</v>
      </c>
      <c r="G61" s="1" t="s">
        <v>0</v>
      </c>
      <c r="H61" s="10" t="s">
        <v>24</v>
      </c>
      <c r="I61" s="11" t="s">
        <v>25</v>
      </c>
    </row>
    <row r="62" spans="1:9" x14ac:dyDescent="0.25">
      <c r="A62" s="1" t="s">
        <v>10</v>
      </c>
      <c r="B62">
        <v>0</v>
      </c>
      <c r="C62">
        <v>0</v>
      </c>
      <c r="D62">
        <v>0</v>
      </c>
      <c r="E62">
        <v>0</v>
      </c>
      <c r="F62">
        <v>0.25700000000000001</v>
      </c>
      <c r="G62">
        <v>0.26700000000000002</v>
      </c>
      <c r="H62">
        <v>0</v>
      </c>
      <c r="I62">
        <v>1.038E-2</v>
      </c>
    </row>
    <row r="63" spans="1:9" x14ac:dyDescent="0.25">
      <c r="A63" s="1" t="s">
        <v>11</v>
      </c>
      <c r="B63">
        <v>0</v>
      </c>
      <c r="C63">
        <v>0</v>
      </c>
      <c r="D63">
        <v>0</v>
      </c>
      <c r="E63">
        <v>0</v>
      </c>
      <c r="F63">
        <v>0.25800000000000001</v>
      </c>
      <c r="G63">
        <v>0.248</v>
      </c>
      <c r="H63">
        <v>0</v>
      </c>
      <c r="I63">
        <v>1.7899999999999999E-2</v>
      </c>
    </row>
    <row r="64" spans="1:9" x14ac:dyDescent="0.25">
      <c r="A64" s="1" t="s">
        <v>12</v>
      </c>
      <c r="B64">
        <v>0</v>
      </c>
      <c r="C64">
        <v>0</v>
      </c>
      <c r="D64">
        <v>0</v>
      </c>
      <c r="E64">
        <v>0</v>
      </c>
      <c r="F64">
        <v>0.26200000000000001</v>
      </c>
      <c r="G64">
        <v>0.247</v>
      </c>
      <c r="H64">
        <v>0</v>
      </c>
      <c r="I64">
        <v>2.46E-2</v>
      </c>
    </row>
    <row r="65" spans="1:9" x14ac:dyDescent="0.25">
      <c r="A65" s="1" t="s">
        <v>13</v>
      </c>
      <c r="B65">
        <v>0</v>
      </c>
      <c r="C65">
        <v>0</v>
      </c>
      <c r="D65">
        <v>0</v>
      </c>
      <c r="E65">
        <v>0</v>
      </c>
      <c r="F65">
        <v>0.254</v>
      </c>
      <c r="G65">
        <v>0.247</v>
      </c>
      <c r="H65">
        <v>0</v>
      </c>
      <c r="I65">
        <v>2.3300000000000001E-2</v>
      </c>
    </row>
    <row r="66" spans="1:9" x14ac:dyDescent="0.25">
      <c r="A66" s="1" t="s">
        <v>14</v>
      </c>
      <c r="B66">
        <v>0</v>
      </c>
      <c r="C66">
        <v>0</v>
      </c>
      <c r="D66">
        <v>0</v>
      </c>
      <c r="E66">
        <v>0</v>
      </c>
      <c r="F66">
        <v>0.26100000000000001</v>
      </c>
      <c r="G66">
        <v>0.247</v>
      </c>
      <c r="H66">
        <v>0</v>
      </c>
      <c r="I66">
        <v>2.1010000000000001E-2</v>
      </c>
    </row>
    <row r="68" spans="1:9" x14ac:dyDescent="0.25">
      <c r="A68" s="19" t="s">
        <v>3</v>
      </c>
      <c r="B68" s="19"/>
      <c r="C68" s="19"/>
    </row>
    <row r="69" spans="1:9" x14ac:dyDescent="0.25">
      <c r="B69" s="1" t="s">
        <v>0</v>
      </c>
      <c r="C69" s="1" t="s">
        <v>1</v>
      </c>
      <c r="D69" s="10" t="s">
        <v>24</v>
      </c>
      <c r="E69" s="11" t="s">
        <v>25</v>
      </c>
    </row>
    <row r="70" spans="1:9" x14ac:dyDescent="0.25">
      <c r="A70" s="1" t="s">
        <v>10</v>
      </c>
      <c r="B70" s="2">
        <v>0.30005300000000001</v>
      </c>
      <c r="C70" s="2">
        <v>0.28077999999999997</v>
      </c>
      <c r="D70" s="2">
        <v>0</v>
      </c>
      <c r="E70" s="2">
        <v>5.8440000000000006E-2</v>
      </c>
    </row>
    <row r="71" spans="1:9" x14ac:dyDescent="0.25">
      <c r="A71" s="1" t="s">
        <v>11</v>
      </c>
      <c r="B71" s="2">
        <v>0.31176999999999999</v>
      </c>
      <c r="C71" s="2">
        <v>0.28178999999999998</v>
      </c>
      <c r="D71" s="2">
        <v>0</v>
      </c>
      <c r="E71" s="2">
        <v>5.6840000000000002E-2</v>
      </c>
    </row>
    <row r="72" spans="1:9" x14ac:dyDescent="0.25">
      <c r="A72" s="1" t="s">
        <v>12</v>
      </c>
      <c r="B72" s="2">
        <v>0.30499999999999999</v>
      </c>
      <c r="C72" s="2">
        <v>0.28534999999999999</v>
      </c>
      <c r="D72" s="2">
        <v>0</v>
      </c>
      <c r="E72" s="2">
        <v>0.10604</v>
      </c>
    </row>
    <row r="73" spans="1:9" x14ac:dyDescent="0.25">
      <c r="A73" s="1" t="s">
        <v>13</v>
      </c>
      <c r="B73" s="2">
        <v>0.30619000000000002</v>
      </c>
      <c r="C73" s="2">
        <v>0.27648</v>
      </c>
      <c r="D73" s="2">
        <v>0</v>
      </c>
      <c r="E73" s="2">
        <v>5.8834999999999998E-2</v>
      </c>
    </row>
    <row r="74" spans="1:9" x14ac:dyDescent="0.25">
      <c r="A74" s="1" t="s">
        <v>14</v>
      </c>
      <c r="B74" s="2">
        <v>0.28906999999999999</v>
      </c>
      <c r="C74" s="2">
        <v>0.28399000000000002</v>
      </c>
      <c r="D74" s="2">
        <v>0</v>
      </c>
      <c r="E74" s="2">
        <v>0.110092</v>
      </c>
    </row>
    <row r="78" spans="1:9" x14ac:dyDescent="0.25">
      <c r="A78" s="13" t="s">
        <v>18</v>
      </c>
      <c r="B78" s="13"/>
      <c r="C78" s="13"/>
      <c r="D78" s="13"/>
      <c r="E78" s="13"/>
      <c r="F78" s="13"/>
      <c r="G78" s="13"/>
    </row>
    <row r="79" spans="1:9" x14ac:dyDescent="0.25">
      <c r="A79" s="15" t="s">
        <v>16</v>
      </c>
      <c r="B79" s="15"/>
      <c r="C79" s="15"/>
      <c r="D79" s="15"/>
      <c r="E79" s="15"/>
      <c r="F79" s="15"/>
      <c r="G79" s="15"/>
    </row>
    <row r="80" spans="1:9" x14ac:dyDescent="0.25">
      <c r="A80" s="6"/>
      <c r="B80" s="1" t="s">
        <v>1</v>
      </c>
      <c r="C80" s="1" t="s">
        <v>0</v>
      </c>
      <c r="D80" s="10" t="s">
        <v>28</v>
      </c>
      <c r="E80" s="11" t="s">
        <v>27</v>
      </c>
    </row>
    <row r="81" spans="1:5" x14ac:dyDescent="0.25">
      <c r="A81" s="7">
        <v>0.15</v>
      </c>
      <c r="B81" s="20">
        <f>AVERAGE(F4:F8)</f>
        <v>0.26151999999999997</v>
      </c>
      <c r="C81" s="20">
        <f>AVERAGE(G4:G8)</f>
        <v>0.25119999999999998</v>
      </c>
      <c r="D81" s="20">
        <f>AVERAGE(H4:H8)</f>
        <v>0</v>
      </c>
      <c r="E81" s="20">
        <f>AVERAGE(I4:I8)</f>
        <v>3.1047999999999999E-2</v>
      </c>
    </row>
    <row r="82" spans="1:5" x14ac:dyDescent="0.25">
      <c r="A82" s="8">
        <v>0.35</v>
      </c>
      <c r="B82" s="20">
        <f>AVERAGE(F24:F28)</f>
        <v>0.25800000000000001</v>
      </c>
      <c r="C82" s="20">
        <f>AVERAGE(G24:G28)</f>
        <v>0.25119999999999998</v>
      </c>
      <c r="D82" s="20">
        <f>AVERAGE(H24:H28)</f>
        <v>0</v>
      </c>
      <c r="E82" s="20">
        <f>AVERAGE(I24:I28)</f>
        <v>2.5537999999999998E-2</v>
      </c>
    </row>
    <row r="83" spans="1:5" x14ac:dyDescent="0.25">
      <c r="A83" s="8">
        <v>0.55000000000000004</v>
      </c>
      <c r="B83" s="20">
        <f>AVERAGE(F43:F47)</f>
        <v>0.71839999999999993</v>
      </c>
      <c r="C83" s="20">
        <f>AVERAGE(G43:G47)</f>
        <v>0.25119999999999998</v>
      </c>
      <c r="D83" s="20">
        <f>AVERAGE(H43:H47)</f>
        <v>0</v>
      </c>
      <c r="E83" s="20">
        <f>AVERAGE(I43:I47)</f>
        <v>2.3396E-2</v>
      </c>
    </row>
    <row r="84" spans="1:5" x14ac:dyDescent="0.25">
      <c r="A84" s="8">
        <v>0.7</v>
      </c>
      <c r="B84" s="20">
        <f>AVERAGE(F62:F66)</f>
        <v>0.25840000000000007</v>
      </c>
      <c r="C84" s="20">
        <f>AVERAGE(G62:G66)</f>
        <v>0.25119999999999998</v>
      </c>
      <c r="D84" s="20">
        <f>AVERAGE(H62:H66)</f>
        <v>0</v>
      </c>
      <c r="E84" s="20">
        <f>AVERAGE(I62:I66)</f>
        <v>1.9438E-2</v>
      </c>
    </row>
    <row r="90" spans="1:5" x14ac:dyDescent="0.25">
      <c r="A90" s="19" t="s">
        <v>3</v>
      </c>
      <c r="B90" s="19"/>
      <c r="C90" s="19"/>
    </row>
    <row r="91" spans="1:5" x14ac:dyDescent="0.25">
      <c r="B91" s="1" t="s">
        <v>0</v>
      </c>
      <c r="C91" s="1" t="s">
        <v>1</v>
      </c>
      <c r="D91" s="10" t="s">
        <v>28</v>
      </c>
      <c r="E91" s="11" t="s">
        <v>27</v>
      </c>
    </row>
    <row r="92" spans="1:5" x14ac:dyDescent="0.25">
      <c r="A92" s="7">
        <v>0.15</v>
      </c>
      <c r="B92" s="2">
        <f>AVERAGE(B12:B16)</f>
        <v>0.27386260000000001</v>
      </c>
      <c r="C92" s="2">
        <f>AVERAGE(C12:C16)</f>
        <v>0.28851199999999999</v>
      </c>
      <c r="D92">
        <v>0</v>
      </c>
      <c r="E92" s="2">
        <f>AVERAGE(E12:E16)</f>
        <v>2.9996248000000003E-2</v>
      </c>
    </row>
    <row r="93" spans="1:5" x14ac:dyDescent="0.25">
      <c r="A93" s="8">
        <v>0.35</v>
      </c>
      <c r="B93" s="2">
        <f>AVERAGE(B32:B36)</f>
        <v>0.27386260000000001</v>
      </c>
      <c r="C93" s="2">
        <f>AVERAGE(C32:C36)</f>
        <v>0.28378200000000003</v>
      </c>
      <c r="D93">
        <v>0</v>
      </c>
      <c r="E93" s="2">
        <f>AVERAGE(E51:E55)</f>
        <v>2.5120839999999998E-2</v>
      </c>
    </row>
    <row r="94" spans="1:5" x14ac:dyDescent="0.25">
      <c r="A94" s="8">
        <v>0.55000000000000004</v>
      </c>
      <c r="B94" s="2">
        <f>AVERAGE(B51:B55)</f>
        <v>0.27386260000000001</v>
      </c>
      <c r="C94" s="2">
        <f>AVERAGE(C51:C55)</f>
        <v>0.28195599999999998</v>
      </c>
      <c r="D94">
        <v>0</v>
      </c>
      <c r="E94" s="2">
        <f>AVERAGE(E51:E55)</f>
        <v>2.5120839999999998E-2</v>
      </c>
    </row>
    <row r="95" spans="1:5" x14ac:dyDescent="0.25">
      <c r="A95" s="8">
        <v>0.7</v>
      </c>
      <c r="B95" s="2">
        <f>AVERAGE(B70:B74)</f>
        <v>0.30241659999999998</v>
      </c>
      <c r="C95" s="2">
        <f>AVERAGE(C70:C74)</f>
        <v>0.28167799999999998</v>
      </c>
      <c r="D95">
        <v>0</v>
      </c>
      <c r="E95" s="2">
        <f>AVERAGE(E70:E74)</f>
        <v>7.8049400000000005E-2</v>
      </c>
    </row>
  </sheetData>
  <mergeCells count="15">
    <mergeCell ref="A1:G1"/>
    <mergeCell ref="A2:G2"/>
    <mergeCell ref="A10:C10"/>
    <mergeCell ref="A21:G21"/>
    <mergeCell ref="A22:G22"/>
    <mergeCell ref="A78:G78"/>
    <mergeCell ref="A79:G79"/>
    <mergeCell ref="A90:C90"/>
    <mergeCell ref="A60:G60"/>
    <mergeCell ref="A68:C68"/>
    <mergeCell ref="A30:C30"/>
    <mergeCell ref="A40:G40"/>
    <mergeCell ref="A41:G41"/>
    <mergeCell ref="A49:C49"/>
    <mergeCell ref="A59:G59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FC17E-2A9C-41C3-A7A1-5A3A8E18F4DE}">
  <dimension ref="A1:I65"/>
  <sheetViews>
    <sheetView tabSelected="1" topLeftCell="A51" zoomScale="70" zoomScaleNormal="70" workbookViewId="0">
      <selection activeCell="P91" sqref="P91"/>
    </sheetView>
  </sheetViews>
  <sheetFormatPr defaultRowHeight="15" x14ac:dyDescent="0.25"/>
  <cols>
    <col min="2" max="2" width="15.85546875" bestFit="1" customWidth="1"/>
    <col min="3" max="3" width="11.5703125" bestFit="1" customWidth="1"/>
    <col min="4" max="4" width="38.28515625" bestFit="1" customWidth="1"/>
    <col min="5" max="5" width="14.85546875" bestFit="1" customWidth="1"/>
    <col min="6" max="6" width="9.5703125" bestFit="1" customWidth="1"/>
    <col min="8" max="8" width="21.85546875" bestFit="1" customWidth="1"/>
    <col min="9" max="9" width="23.28515625" bestFit="1" customWidth="1"/>
  </cols>
  <sheetData>
    <row r="1" spans="1:9" x14ac:dyDescent="0.25">
      <c r="A1" s="14" t="s">
        <v>19</v>
      </c>
      <c r="B1" s="14"/>
      <c r="C1" s="14"/>
      <c r="D1" s="14"/>
      <c r="E1" s="14"/>
      <c r="F1" s="14"/>
      <c r="G1" s="14"/>
    </row>
    <row r="2" spans="1:9" x14ac:dyDescent="0.25">
      <c r="A2" s="17" t="s">
        <v>2</v>
      </c>
      <c r="B2" s="16"/>
      <c r="C2" s="16"/>
      <c r="D2" s="16"/>
      <c r="E2" s="16"/>
      <c r="F2" s="16"/>
      <c r="G2" s="18"/>
    </row>
    <row r="3" spans="1:9" ht="75" x14ac:dyDescent="0.25">
      <c r="A3" s="5"/>
      <c r="B3" s="1" t="s">
        <v>6</v>
      </c>
      <c r="C3" s="4" t="s">
        <v>7</v>
      </c>
      <c r="D3" s="1" t="s">
        <v>8</v>
      </c>
      <c r="E3" s="4" t="s">
        <v>9</v>
      </c>
      <c r="F3" s="1" t="s">
        <v>1</v>
      </c>
      <c r="G3" s="1" t="s">
        <v>0</v>
      </c>
      <c r="H3" s="10" t="s">
        <v>24</v>
      </c>
      <c r="I3" s="11" t="s">
        <v>25</v>
      </c>
    </row>
    <row r="4" spans="1:9" x14ac:dyDescent="0.25">
      <c r="A4" s="1" t="s">
        <v>10</v>
      </c>
      <c r="B4">
        <v>1</v>
      </c>
      <c r="C4">
        <v>1</v>
      </c>
      <c r="D4">
        <v>166</v>
      </c>
      <c r="E4">
        <v>232</v>
      </c>
      <c r="F4">
        <v>1</v>
      </c>
      <c r="G4">
        <v>1</v>
      </c>
      <c r="H4">
        <v>92</v>
      </c>
      <c r="I4">
        <v>52</v>
      </c>
    </row>
    <row r="5" spans="1:9" x14ac:dyDescent="0.25">
      <c r="A5" s="1" t="s">
        <v>11</v>
      </c>
      <c r="B5">
        <v>1</v>
      </c>
      <c r="C5">
        <v>1</v>
      </c>
      <c r="D5">
        <v>107</v>
      </c>
      <c r="E5">
        <v>120</v>
      </c>
      <c r="F5">
        <v>1</v>
      </c>
      <c r="G5">
        <v>1</v>
      </c>
      <c r="H5">
        <v>160</v>
      </c>
      <c r="I5">
        <v>26</v>
      </c>
    </row>
    <row r="6" spans="1:9" x14ac:dyDescent="0.25">
      <c r="A6" s="1" t="s">
        <v>12</v>
      </c>
      <c r="B6">
        <v>1</v>
      </c>
      <c r="C6">
        <v>1</v>
      </c>
      <c r="D6">
        <v>146</v>
      </c>
      <c r="E6">
        <v>135</v>
      </c>
      <c r="F6">
        <v>1</v>
      </c>
      <c r="G6">
        <v>1</v>
      </c>
      <c r="H6">
        <v>320</v>
      </c>
      <c r="I6">
        <v>129</v>
      </c>
    </row>
    <row r="7" spans="1:9" x14ac:dyDescent="0.25">
      <c r="A7" s="1" t="s">
        <v>13</v>
      </c>
      <c r="B7">
        <v>1</v>
      </c>
      <c r="C7">
        <v>1</v>
      </c>
      <c r="D7">
        <v>75</v>
      </c>
      <c r="E7">
        <v>138</v>
      </c>
      <c r="F7">
        <v>1</v>
      </c>
      <c r="G7">
        <v>1</v>
      </c>
      <c r="H7">
        <v>139</v>
      </c>
      <c r="I7">
        <v>45</v>
      </c>
    </row>
    <row r="8" spans="1:9" x14ac:dyDescent="0.25">
      <c r="A8" s="1" t="s">
        <v>14</v>
      </c>
      <c r="B8">
        <v>1</v>
      </c>
      <c r="C8">
        <v>1</v>
      </c>
      <c r="D8">
        <v>156</v>
      </c>
      <c r="E8">
        <v>72</v>
      </c>
      <c r="F8">
        <v>1</v>
      </c>
      <c r="G8">
        <v>1</v>
      </c>
      <c r="H8">
        <v>266</v>
      </c>
      <c r="I8">
        <v>167</v>
      </c>
    </row>
    <row r="13" spans="1:9" x14ac:dyDescent="0.25">
      <c r="A13" s="14" t="s">
        <v>20</v>
      </c>
      <c r="B13" s="14"/>
      <c r="C13" s="14"/>
      <c r="D13" s="14"/>
      <c r="E13" s="14"/>
      <c r="F13" s="14"/>
      <c r="G13" s="14"/>
    </row>
    <row r="14" spans="1:9" x14ac:dyDescent="0.25">
      <c r="A14" s="17" t="s">
        <v>2</v>
      </c>
      <c r="B14" s="16"/>
      <c r="C14" s="16"/>
      <c r="D14" s="16"/>
      <c r="E14" s="16"/>
      <c r="F14" s="16"/>
      <c r="G14" s="18"/>
    </row>
    <row r="15" spans="1:9" ht="75" x14ac:dyDescent="0.25">
      <c r="A15" s="5"/>
      <c r="B15" s="1" t="s">
        <v>6</v>
      </c>
      <c r="C15" s="4" t="s">
        <v>7</v>
      </c>
      <c r="D15" s="1" t="s">
        <v>8</v>
      </c>
      <c r="E15" s="4" t="s">
        <v>9</v>
      </c>
      <c r="F15" s="1" t="s">
        <v>1</v>
      </c>
      <c r="G15" s="1" t="s">
        <v>0</v>
      </c>
      <c r="H15" s="10" t="s">
        <v>24</v>
      </c>
      <c r="I15" s="11" t="s">
        <v>25</v>
      </c>
    </row>
    <row r="16" spans="1:9" x14ac:dyDescent="0.25">
      <c r="A16" s="1" t="s">
        <v>10</v>
      </c>
      <c r="B16">
        <v>1</v>
      </c>
      <c r="C16">
        <v>1</v>
      </c>
      <c r="D16">
        <v>176</v>
      </c>
      <c r="E16">
        <v>112</v>
      </c>
      <c r="F16">
        <v>1</v>
      </c>
      <c r="G16">
        <v>1</v>
      </c>
      <c r="H16">
        <v>4</v>
      </c>
      <c r="I16">
        <v>63</v>
      </c>
    </row>
    <row r="17" spans="1:9" x14ac:dyDescent="0.25">
      <c r="A17" s="1" t="s">
        <v>11</v>
      </c>
      <c r="B17">
        <v>1</v>
      </c>
      <c r="C17">
        <v>1</v>
      </c>
      <c r="D17">
        <v>155</v>
      </c>
      <c r="E17">
        <v>193</v>
      </c>
      <c r="F17">
        <v>1</v>
      </c>
      <c r="G17">
        <v>1</v>
      </c>
      <c r="H17">
        <v>121</v>
      </c>
      <c r="I17">
        <v>55</v>
      </c>
    </row>
    <row r="18" spans="1:9" x14ac:dyDescent="0.25">
      <c r="A18" s="1" t="s">
        <v>12</v>
      </c>
      <c r="B18">
        <v>1</v>
      </c>
      <c r="C18">
        <v>1</v>
      </c>
      <c r="D18">
        <v>185</v>
      </c>
      <c r="E18">
        <v>162</v>
      </c>
      <c r="F18">
        <v>1</v>
      </c>
      <c r="G18">
        <v>1</v>
      </c>
      <c r="H18">
        <v>147</v>
      </c>
      <c r="I18">
        <v>35</v>
      </c>
    </row>
    <row r="19" spans="1:9" x14ac:dyDescent="0.25">
      <c r="A19" s="1" t="s">
        <v>13</v>
      </c>
      <c r="B19">
        <v>1</v>
      </c>
      <c r="C19">
        <v>1</v>
      </c>
      <c r="D19">
        <v>153</v>
      </c>
      <c r="E19">
        <v>102</v>
      </c>
      <c r="F19">
        <v>1</v>
      </c>
      <c r="G19">
        <v>1</v>
      </c>
      <c r="H19">
        <v>172</v>
      </c>
      <c r="I19">
        <v>14</v>
      </c>
    </row>
    <row r="20" spans="1:9" x14ac:dyDescent="0.25">
      <c r="A20" s="1" t="s">
        <v>14</v>
      </c>
      <c r="B20">
        <v>1</v>
      </c>
      <c r="C20">
        <v>1</v>
      </c>
      <c r="D20">
        <v>276</v>
      </c>
      <c r="E20">
        <v>62</v>
      </c>
      <c r="F20">
        <v>1</v>
      </c>
      <c r="G20">
        <v>1</v>
      </c>
      <c r="H20">
        <v>104</v>
      </c>
      <c r="I20">
        <v>89</v>
      </c>
    </row>
    <row r="24" spans="1:9" x14ac:dyDescent="0.25">
      <c r="A24" s="14" t="s">
        <v>21</v>
      </c>
      <c r="B24" s="14"/>
      <c r="C24" s="14"/>
      <c r="D24" s="14"/>
      <c r="E24" s="14"/>
      <c r="F24" s="14"/>
      <c r="G24" s="14"/>
    </row>
    <row r="25" spans="1:9" x14ac:dyDescent="0.25">
      <c r="A25" s="17" t="s">
        <v>2</v>
      </c>
      <c r="B25" s="16"/>
      <c r="C25" s="16"/>
      <c r="D25" s="16"/>
      <c r="E25" s="16"/>
      <c r="F25" s="16"/>
      <c r="G25" s="18"/>
    </row>
    <row r="26" spans="1:9" ht="75" x14ac:dyDescent="0.25">
      <c r="A26" s="5"/>
      <c r="B26" s="1" t="s">
        <v>6</v>
      </c>
      <c r="C26" s="4" t="s">
        <v>7</v>
      </c>
      <c r="D26" s="1" t="s">
        <v>8</v>
      </c>
      <c r="E26" s="4" t="s">
        <v>9</v>
      </c>
      <c r="F26" s="1" t="s">
        <v>1</v>
      </c>
      <c r="G26" s="1" t="s">
        <v>0</v>
      </c>
      <c r="H26" s="10" t="s">
        <v>24</v>
      </c>
      <c r="I26" s="11" t="s">
        <v>25</v>
      </c>
    </row>
    <row r="27" spans="1:9" x14ac:dyDescent="0.25">
      <c r="A27" s="1" t="s">
        <v>10</v>
      </c>
      <c r="B27">
        <v>150</v>
      </c>
      <c r="C27">
        <v>1</v>
      </c>
      <c r="D27">
        <v>88</v>
      </c>
      <c r="E27">
        <v>93</v>
      </c>
      <c r="F27">
        <v>1</v>
      </c>
      <c r="G27">
        <v>1</v>
      </c>
      <c r="H27">
        <v>205</v>
      </c>
      <c r="I27">
        <v>36</v>
      </c>
    </row>
    <row r="28" spans="1:9" x14ac:dyDescent="0.25">
      <c r="A28" s="1" t="s">
        <v>11</v>
      </c>
      <c r="B28">
        <v>74</v>
      </c>
      <c r="C28">
        <v>1</v>
      </c>
      <c r="D28">
        <v>114</v>
      </c>
      <c r="E28">
        <v>166</v>
      </c>
      <c r="F28">
        <v>1</v>
      </c>
      <c r="G28">
        <v>1</v>
      </c>
      <c r="H28">
        <v>72</v>
      </c>
      <c r="I28">
        <v>198</v>
      </c>
    </row>
    <row r="29" spans="1:9" x14ac:dyDescent="0.25">
      <c r="A29" s="1" t="s">
        <v>12</v>
      </c>
      <c r="B29">
        <v>1</v>
      </c>
      <c r="C29">
        <v>1</v>
      </c>
      <c r="D29">
        <v>117</v>
      </c>
      <c r="E29">
        <v>118</v>
      </c>
      <c r="F29">
        <v>1</v>
      </c>
      <c r="G29">
        <v>1</v>
      </c>
      <c r="H29">
        <v>124</v>
      </c>
      <c r="I29">
        <v>125</v>
      </c>
    </row>
    <row r="30" spans="1:9" x14ac:dyDescent="0.25">
      <c r="A30" s="1" t="s">
        <v>13</v>
      </c>
      <c r="B30">
        <v>69</v>
      </c>
      <c r="C30">
        <v>1</v>
      </c>
      <c r="D30">
        <v>92</v>
      </c>
      <c r="E30">
        <v>151</v>
      </c>
      <c r="F30">
        <v>1</v>
      </c>
      <c r="G30">
        <v>1</v>
      </c>
      <c r="H30">
        <v>315</v>
      </c>
      <c r="I30">
        <v>71</v>
      </c>
    </row>
    <row r="31" spans="1:9" x14ac:dyDescent="0.25">
      <c r="A31" s="1" t="s">
        <v>14</v>
      </c>
      <c r="B31">
        <v>84</v>
      </c>
      <c r="C31">
        <v>1</v>
      </c>
      <c r="D31">
        <v>126</v>
      </c>
      <c r="E31">
        <v>112</v>
      </c>
      <c r="F31">
        <v>1</v>
      </c>
      <c r="G31">
        <v>1</v>
      </c>
      <c r="H31">
        <v>134</v>
      </c>
      <c r="I31">
        <v>68</v>
      </c>
    </row>
    <row r="36" spans="1:9" x14ac:dyDescent="0.25">
      <c r="A36" s="14" t="s">
        <v>22</v>
      </c>
      <c r="B36" s="14"/>
      <c r="C36" s="14"/>
      <c r="D36" s="14"/>
      <c r="E36" s="14"/>
      <c r="F36" s="14"/>
      <c r="G36" s="14"/>
    </row>
    <row r="37" spans="1:9" x14ac:dyDescent="0.25">
      <c r="A37" s="17" t="s">
        <v>2</v>
      </c>
      <c r="B37" s="16"/>
      <c r="C37" s="16"/>
      <c r="D37" s="16"/>
      <c r="E37" s="16"/>
      <c r="F37" s="16"/>
      <c r="G37" s="18"/>
    </row>
    <row r="38" spans="1:9" ht="75" x14ac:dyDescent="0.25">
      <c r="A38" s="5"/>
      <c r="B38" s="1" t="s">
        <v>6</v>
      </c>
      <c r="C38" s="4" t="s">
        <v>7</v>
      </c>
      <c r="D38" s="1" t="s">
        <v>8</v>
      </c>
      <c r="E38" s="4" t="s">
        <v>9</v>
      </c>
      <c r="F38" s="1" t="s">
        <v>1</v>
      </c>
      <c r="G38" s="1" t="s">
        <v>0</v>
      </c>
      <c r="H38" s="10" t="s">
        <v>24</v>
      </c>
      <c r="I38" s="11" t="s">
        <v>25</v>
      </c>
    </row>
    <row r="39" spans="1:9" x14ac:dyDescent="0.25">
      <c r="A39" s="1" t="s">
        <v>10</v>
      </c>
      <c r="B39">
        <v>90</v>
      </c>
      <c r="C39">
        <v>1</v>
      </c>
      <c r="D39">
        <v>175</v>
      </c>
      <c r="E39">
        <v>96</v>
      </c>
      <c r="F39">
        <v>1</v>
      </c>
      <c r="G39">
        <v>1</v>
      </c>
      <c r="H39">
        <v>148</v>
      </c>
      <c r="I39">
        <v>88</v>
      </c>
    </row>
    <row r="40" spans="1:9" x14ac:dyDescent="0.25">
      <c r="A40" s="1" t="s">
        <v>11</v>
      </c>
      <c r="B40">
        <v>136</v>
      </c>
      <c r="C40">
        <v>1</v>
      </c>
      <c r="D40">
        <v>114</v>
      </c>
      <c r="E40">
        <v>71</v>
      </c>
      <c r="F40">
        <v>1</v>
      </c>
      <c r="G40">
        <v>1</v>
      </c>
      <c r="H40">
        <v>142</v>
      </c>
      <c r="I40">
        <v>62</v>
      </c>
    </row>
    <row r="41" spans="1:9" x14ac:dyDescent="0.25">
      <c r="A41" s="1" t="s">
        <v>12</v>
      </c>
      <c r="B41">
        <v>83</v>
      </c>
      <c r="C41">
        <v>1</v>
      </c>
      <c r="D41">
        <v>146</v>
      </c>
      <c r="E41">
        <v>119</v>
      </c>
      <c r="F41">
        <v>1</v>
      </c>
      <c r="G41">
        <v>1</v>
      </c>
      <c r="H41">
        <v>177</v>
      </c>
      <c r="I41">
        <v>33</v>
      </c>
    </row>
    <row r="42" spans="1:9" x14ac:dyDescent="0.25">
      <c r="A42" s="1" t="s">
        <v>13</v>
      </c>
      <c r="B42">
        <v>242</v>
      </c>
      <c r="C42">
        <v>1</v>
      </c>
      <c r="D42">
        <v>129</v>
      </c>
      <c r="E42">
        <v>93</v>
      </c>
      <c r="F42">
        <v>1</v>
      </c>
      <c r="G42">
        <v>1</v>
      </c>
      <c r="H42">
        <v>232</v>
      </c>
      <c r="I42">
        <v>10</v>
      </c>
    </row>
    <row r="43" spans="1:9" x14ac:dyDescent="0.25">
      <c r="A43" s="1" t="s">
        <v>14</v>
      </c>
      <c r="B43">
        <v>116</v>
      </c>
      <c r="C43">
        <v>1</v>
      </c>
      <c r="D43">
        <v>92</v>
      </c>
      <c r="E43">
        <v>107</v>
      </c>
      <c r="F43">
        <v>1</v>
      </c>
      <c r="G43">
        <v>1</v>
      </c>
      <c r="H43">
        <v>149</v>
      </c>
      <c r="I43">
        <v>25</v>
      </c>
    </row>
    <row r="59" spans="1:9" x14ac:dyDescent="0.25">
      <c r="A59" s="13" t="s">
        <v>18</v>
      </c>
      <c r="B59" s="13"/>
      <c r="C59" s="13"/>
      <c r="D59" s="13"/>
      <c r="E59" s="13"/>
      <c r="F59" s="13"/>
      <c r="G59" s="13"/>
    </row>
    <row r="60" spans="1:9" x14ac:dyDescent="0.25">
      <c r="A60" s="17" t="s">
        <v>2</v>
      </c>
      <c r="B60" s="16"/>
      <c r="C60" s="16"/>
      <c r="D60" s="16"/>
      <c r="E60" s="16"/>
      <c r="F60" s="16"/>
      <c r="G60" s="18"/>
    </row>
    <row r="61" spans="1:9" ht="75" x14ac:dyDescent="0.25">
      <c r="A61" s="6"/>
      <c r="B61" s="1" t="s">
        <v>6</v>
      </c>
      <c r="C61" s="4" t="s">
        <v>7</v>
      </c>
      <c r="D61" s="1" t="s">
        <v>8</v>
      </c>
      <c r="E61" s="4" t="s">
        <v>9</v>
      </c>
      <c r="F61" s="1" t="s">
        <v>1</v>
      </c>
      <c r="G61" s="1" t="s">
        <v>0</v>
      </c>
      <c r="H61" s="10" t="s">
        <v>28</v>
      </c>
      <c r="I61" s="11" t="s">
        <v>27</v>
      </c>
    </row>
    <row r="62" spans="1:9" x14ac:dyDescent="0.25">
      <c r="A62" s="7">
        <v>0.15</v>
      </c>
      <c r="B62">
        <f>AVERAGE(B4:B8)</f>
        <v>1</v>
      </c>
      <c r="C62">
        <f>AVERAGE(C4:C8)</f>
        <v>1</v>
      </c>
      <c r="D62">
        <f>AVERAGE(D4:D8)</f>
        <v>130</v>
      </c>
      <c r="E62">
        <f t="shared" ref="E62:G62" si="0">AVERAGE(E4:E8)</f>
        <v>139.4</v>
      </c>
      <c r="F62">
        <f t="shared" si="0"/>
        <v>1</v>
      </c>
      <c r="G62">
        <f t="shared" si="0"/>
        <v>1</v>
      </c>
      <c r="H62">
        <f>AVERAGE(H4:H8)</f>
        <v>195.4</v>
      </c>
      <c r="I62">
        <f>AVERAGE(I4:I8)</f>
        <v>83.8</v>
      </c>
    </row>
    <row r="63" spans="1:9" x14ac:dyDescent="0.25">
      <c r="A63" s="8">
        <v>0.35</v>
      </c>
      <c r="B63">
        <f>AVERAGE(B16:B20)</f>
        <v>1</v>
      </c>
      <c r="C63">
        <f>AVERAGE(C16:C20)</f>
        <v>1</v>
      </c>
      <c r="D63">
        <f t="shared" ref="D63:G63" si="1">AVERAGE(D16:D20)</f>
        <v>189</v>
      </c>
      <c r="E63">
        <f t="shared" si="1"/>
        <v>126.2</v>
      </c>
      <c r="F63">
        <f t="shared" si="1"/>
        <v>1</v>
      </c>
      <c r="G63">
        <f t="shared" si="1"/>
        <v>1</v>
      </c>
      <c r="H63">
        <f>AVERAGE(H16:H20)</f>
        <v>109.6</v>
      </c>
      <c r="I63">
        <f>AVERAGE(I16:I20)</f>
        <v>51.2</v>
      </c>
    </row>
    <row r="64" spans="1:9" x14ac:dyDescent="0.25">
      <c r="A64" s="8">
        <v>0.55000000000000004</v>
      </c>
      <c r="B64">
        <f>AVERAGE(B27:B31)</f>
        <v>75.599999999999994</v>
      </c>
      <c r="C64">
        <f t="shared" ref="C64:G64" si="2">AVERAGE(C27:C31)</f>
        <v>1</v>
      </c>
      <c r="D64">
        <f t="shared" si="2"/>
        <v>107.4</v>
      </c>
      <c r="E64">
        <f>AVERAGE(E27:E31)</f>
        <v>128</v>
      </c>
      <c r="F64">
        <f t="shared" si="2"/>
        <v>1</v>
      </c>
      <c r="G64">
        <f t="shared" si="2"/>
        <v>1</v>
      </c>
      <c r="H64">
        <f>AVERAGE(H27:H31)</f>
        <v>170</v>
      </c>
      <c r="I64">
        <f>AVERAGE(I27:I31)</f>
        <v>99.6</v>
      </c>
    </row>
    <row r="65" spans="1:9" x14ac:dyDescent="0.25">
      <c r="A65" s="8">
        <v>0.7</v>
      </c>
      <c r="B65">
        <f>AVERAGE(B39:B43)</f>
        <v>133.4</v>
      </c>
      <c r="C65">
        <f t="shared" ref="C65:G65" si="3">AVERAGE(C39:C43)</f>
        <v>1</v>
      </c>
      <c r="D65">
        <f t="shared" si="3"/>
        <v>131.19999999999999</v>
      </c>
      <c r="E65">
        <f t="shared" si="3"/>
        <v>97.2</v>
      </c>
      <c r="F65">
        <f t="shared" si="3"/>
        <v>1</v>
      </c>
      <c r="G65">
        <f t="shared" si="3"/>
        <v>1</v>
      </c>
      <c r="H65">
        <f>AVERAGE(H39:H43)</f>
        <v>169.6</v>
      </c>
      <c r="I65">
        <f>AVERAGE(I39:I43)</f>
        <v>43.6</v>
      </c>
    </row>
  </sheetData>
  <mergeCells count="10">
    <mergeCell ref="A59:G59"/>
    <mergeCell ref="A60:G60"/>
    <mergeCell ref="A36:G36"/>
    <mergeCell ref="A37:G37"/>
    <mergeCell ref="A1:G1"/>
    <mergeCell ref="A2:G2"/>
    <mergeCell ref="A13:G13"/>
    <mergeCell ref="A14:G14"/>
    <mergeCell ref="A24:G24"/>
    <mergeCell ref="A25:G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Edge Cuts</vt:lpstr>
      <vt:lpstr>Runtimes</vt:lpstr>
      <vt:lpstr>CCM</vt:lpstr>
      <vt:lpstr>Contiguity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Alhassan Satii Aalshareedah</cp:lastModifiedBy>
  <dcterms:created xsi:type="dcterms:W3CDTF">2024-07-31T23:17:36Z</dcterms:created>
  <dcterms:modified xsi:type="dcterms:W3CDTF">2024-11-22T16:39:57Z</dcterms:modified>
</cp:coreProperties>
</file>
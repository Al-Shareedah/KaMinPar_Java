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SISR Script\Experiments data\Cardinality Skewness\"/>
    </mc:Choice>
  </mc:AlternateContent>
  <xr:revisionPtr revIDLastSave="0" documentId="13_ncr:1_{AABF5703-1B7A-437C-80BF-2FCEC69A55B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dge Cuts" sheetId="1" r:id="rId1"/>
    <sheet name="Runtimes" sheetId="3" r:id="rId2"/>
    <sheet name="CCM" sheetId="5" r:id="rId3"/>
    <sheet name="Contiguit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1" l="1"/>
  <c r="N83" i="1"/>
  <c r="N84" i="1"/>
  <c r="N85" i="1"/>
  <c r="N81" i="1"/>
  <c r="M82" i="1"/>
  <c r="M83" i="1"/>
  <c r="M84" i="1"/>
  <c r="M85" i="1"/>
  <c r="M81" i="1"/>
  <c r="L82" i="1"/>
  <c r="L83" i="1"/>
  <c r="L84" i="1"/>
  <c r="L85" i="1"/>
  <c r="L81" i="1"/>
  <c r="K82" i="1"/>
  <c r="K83" i="1"/>
  <c r="K84" i="1"/>
  <c r="K85" i="1"/>
  <c r="K81" i="1"/>
  <c r="I66" i="7"/>
  <c r="I65" i="7"/>
  <c r="I64" i="7"/>
  <c r="I63" i="7"/>
  <c r="I62" i="7"/>
  <c r="H66" i="7"/>
  <c r="H65" i="7"/>
  <c r="H64" i="7"/>
  <c r="H63" i="7"/>
  <c r="H62" i="7"/>
  <c r="F116" i="5"/>
  <c r="F115" i="5"/>
  <c r="F114" i="5"/>
  <c r="F113" i="5"/>
  <c r="F112" i="5"/>
  <c r="E116" i="5"/>
  <c r="E115" i="5"/>
  <c r="E114" i="5"/>
  <c r="E113" i="5"/>
  <c r="E106" i="5"/>
  <c r="E105" i="5"/>
  <c r="E104" i="5"/>
  <c r="E103" i="5"/>
  <c r="E102" i="5"/>
  <c r="D106" i="5"/>
  <c r="D105" i="5"/>
  <c r="D104" i="5"/>
  <c r="D103" i="5"/>
  <c r="D102" i="5"/>
  <c r="I65" i="3"/>
  <c r="I64" i="3"/>
  <c r="I63" i="3"/>
  <c r="I62" i="3"/>
  <c r="I61" i="3"/>
  <c r="H65" i="3"/>
  <c r="H64" i="3"/>
  <c r="H63" i="3"/>
  <c r="H62" i="3"/>
  <c r="H61" i="3"/>
  <c r="I77" i="1"/>
  <c r="I76" i="1"/>
  <c r="I75" i="1"/>
  <c r="I74" i="1"/>
  <c r="I73" i="1"/>
  <c r="H77" i="1"/>
  <c r="H76" i="1"/>
  <c r="H75" i="1"/>
  <c r="E50" i="1"/>
  <c r="H74" i="1"/>
  <c r="H73" i="1"/>
  <c r="D62" i="7"/>
  <c r="C63" i="7"/>
  <c r="C62" i="7"/>
  <c r="B65" i="7"/>
  <c r="B64" i="7"/>
  <c r="B63" i="7"/>
  <c r="B62" i="7"/>
  <c r="G66" i="7"/>
  <c r="F66" i="7"/>
  <c r="E66" i="7"/>
  <c r="D66" i="7"/>
  <c r="C66" i="7"/>
  <c r="B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G62" i="7"/>
  <c r="F62" i="7"/>
  <c r="E62" i="7"/>
  <c r="D116" i="5"/>
  <c r="D115" i="5"/>
  <c r="C116" i="5"/>
  <c r="C115" i="5"/>
  <c r="C114" i="5"/>
  <c r="C113" i="5"/>
  <c r="C112" i="5"/>
  <c r="B116" i="5"/>
  <c r="B115" i="5"/>
  <c r="B114" i="5"/>
  <c r="B113" i="5"/>
  <c r="B112" i="5"/>
  <c r="C106" i="5"/>
  <c r="C105" i="5"/>
  <c r="C104" i="5"/>
  <c r="C103" i="5"/>
  <c r="C102" i="5"/>
  <c r="B106" i="5"/>
  <c r="B105" i="5"/>
  <c r="B104" i="5"/>
  <c r="B103" i="5"/>
  <c r="B102" i="5"/>
  <c r="G65" i="3"/>
  <c r="G64" i="3"/>
  <c r="G63" i="3"/>
  <c r="G62" i="3"/>
  <c r="G61" i="3"/>
  <c r="F65" i="3"/>
  <c r="F64" i="3"/>
  <c r="F63" i="3"/>
  <c r="F62" i="3"/>
  <c r="F61" i="3"/>
  <c r="E65" i="3"/>
  <c r="E64" i="3"/>
  <c r="E63" i="3"/>
  <c r="E62" i="3"/>
  <c r="E61" i="3"/>
  <c r="D65" i="3"/>
  <c r="D64" i="3"/>
  <c r="D63" i="3"/>
  <c r="D62" i="3"/>
  <c r="D61" i="3"/>
  <c r="C65" i="3"/>
  <c r="C64" i="3"/>
  <c r="C63" i="3"/>
  <c r="C62" i="3"/>
  <c r="C61" i="3"/>
  <c r="B65" i="3"/>
  <c r="B64" i="3"/>
  <c r="B63" i="3"/>
  <c r="B62" i="3"/>
  <c r="B61" i="3"/>
  <c r="G77" i="1"/>
  <c r="G76" i="1"/>
  <c r="G75" i="1"/>
  <c r="G74" i="1"/>
  <c r="G73" i="1"/>
  <c r="F77" i="1"/>
  <c r="F76" i="1"/>
  <c r="F75" i="1"/>
  <c r="F74" i="1"/>
  <c r="F73" i="1"/>
  <c r="E77" i="1"/>
  <c r="E76" i="1"/>
  <c r="E75" i="1"/>
  <c r="E74" i="1"/>
  <c r="E73" i="1"/>
  <c r="D77" i="1"/>
  <c r="D76" i="1"/>
  <c r="D75" i="1"/>
  <c r="D74" i="1"/>
  <c r="D73" i="1"/>
  <c r="C77" i="1"/>
  <c r="C76" i="1"/>
  <c r="C75" i="1"/>
  <c r="C74" i="1"/>
  <c r="C73" i="1"/>
  <c r="B77" i="1"/>
  <c r="B76" i="1"/>
  <c r="B75" i="1"/>
  <c r="B73" i="1"/>
  <c r="B74" i="1"/>
</calcChain>
</file>

<file path=xl/sharedStrings.xml><?xml version="1.0" encoding="utf-8"?>
<sst xmlns="http://schemas.openxmlformats.org/spreadsheetml/2006/main" count="402" uniqueCount="28">
  <si>
    <t>KaHIP</t>
  </si>
  <si>
    <t>KaMinPar</t>
  </si>
  <si>
    <t>Average Connected Components</t>
  </si>
  <si>
    <t>Average percentage by which partitions missed the desired size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</si>
  <si>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</si>
  <si>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</si>
  <si>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</si>
  <si>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</si>
  <si>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</si>
  <si>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</si>
  <si>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</si>
  <si>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</si>
  <si>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</si>
  <si>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</si>
  <si>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</si>
  <si>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K = 4, Graph = Email, Contraction = 70%, f = [0.7]</t>
  </si>
  <si>
    <t>Runtimes</t>
  </si>
  <si>
    <t>CCM</t>
  </si>
  <si>
    <t>K = 4, Graph = Email, Contraction = 70%, f = [0.3]</t>
  </si>
  <si>
    <t>K = 4, Graph = Email, Contraction = 70%, f = [0.0]</t>
  </si>
  <si>
    <t>K = 4, Graph = Email, Contraction = 70%, f = [-0.3]</t>
  </si>
  <si>
    <t>K = 4, Graph = Email, Contraction = 70%, f = [-0.7]</t>
  </si>
  <si>
    <t>Average Results</t>
  </si>
  <si>
    <t>Deep Multilevel, ε= 0.0</t>
  </si>
  <si>
    <t>Deep Multilevel, ε = 0.05</t>
  </si>
  <si>
    <t>800,240,72,21</t>
  </si>
  <si>
    <t>Deep Multilevel, ε = 5</t>
  </si>
  <si>
    <t>Deep Multilevel, ε=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</si>
</sst>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 applyAlignment="1">
      <alignment vertical="center"/>
    </xf>
    <xf numFmtId="10" fontId="0" fillId="0" borderId="0" xfId="0" applyNumberFormat="1" applyAlignment="1">
      <alignment wrapText="1"/>
    </xf>
    <xf numFmtId="0" fontId="2" fillId="0" borderId="2" xfId="0" applyFont="1" applyBorder="1" applyAlignment="1">
      <alignment horizontal="center" vertical="top"/>
    </xf>
    <xf numFmtId="3" fontId="0" fillId="0" borderId="0" xfId="0" applyNumberFormat="1"/>
    <xf numFmtId="3" fontId="5" fillId="0" borderId="0" xfId="0" applyNumberFormat="1" applyFont="1" applyAlignment="1">
      <alignment vertical="center"/>
    </xf>
    <xf numFmtId="49" fontId="0" fillId="0" borderId="0" xfId="0" applyNumberFormat="1"/>
    <xf numFmtId="10" fontId="0" fillId="0" borderId="0" xfId="1" applyNumberFormat="1" applyFont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  <xf numFmtId="9" fontId="0" fillId="0" borderId="0" xfId="1" applyFont="1"/>
    <xf numFmtId="9" fontId="2" fillId="0" borderId="2" xfId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Cuts'!$F$72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Cuts'!$A$73:$A$77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Cuts'!$F$73:$F$77</c:f>
              <c:numCache>
                <c:formatCode>General</c:formatCode>
                <c:ptCount val="5"/>
                <c:pt idx="0">
                  <c:v>1486</c:v>
                </c:pt>
                <c:pt idx="1">
                  <c:v>1482.6</c:v>
                </c:pt>
                <c:pt idx="2">
                  <c:v>1445.8</c:v>
                </c:pt>
                <c:pt idx="3">
                  <c:v>1426.4</c:v>
                </c:pt>
                <c:pt idx="4">
                  <c:v>1494.6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4D-4645-8E71-20FB705C49ED}"/>
            </c:ext>
          </c:extLst>
        </c:ser>
        <c:ser>
          <c:idx val="5"/>
          <c:order val="5"/>
          <c:tx>
            <c:strRef>
              <c:f>'Edge Cuts'!$G$72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Cuts'!$A$73:$A$77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Cuts'!$G$73:$G$77</c:f>
              <c:numCache>
                <c:formatCode>General</c:formatCode>
                <c:ptCount val="5"/>
                <c:pt idx="0">
                  <c:v>1319.6</c:v>
                </c:pt>
                <c:pt idx="1">
                  <c:v>1321.8</c:v>
                </c:pt>
                <c:pt idx="2">
                  <c:v>1342</c:v>
                </c:pt>
                <c:pt idx="3">
                  <c:v>1331.2</c:v>
                </c:pt>
                <c:pt idx="4">
                  <c:v>1295.8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4D-4645-8E71-20FB705C49ED}"/>
            </c:ext>
          </c:extLst>
        </c:ser>
        <c:ser>
          <c:idx val="6"/>
          <c:order val="6"/>
          <c:tx>
            <c:strRef>
              <c:f>'Edge Cuts'!$H$72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Cuts'!$A$73:$A$77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Cuts'!$H$73:$H$77</c:f>
              <c:numCache>
                <c:formatCode>General</c:formatCode>
                <c:ptCount val="5"/>
                <c:pt idx="0">
                  <c:v>1605.8</c:v>
                </c:pt>
                <c:pt idx="1">
                  <c:v>1609.2</c:v>
                </c:pt>
                <c:pt idx="2">
                  <c:v>1314.4</c:v>
                </c:pt>
                <c:pt idx="3">
                  <c:v>1658.4</c:v>
                </c:pt>
                <c:pt idx="4">
                  <c:v>950.6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F5-4205-8429-4943CABFD4C6}"/>
            </c:ext>
          </c:extLst>
        </c:ser>
        <c:ser>
          <c:idx val="7"/>
          <c:order val="7"/>
          <c:tx>
            <c:strRef>
              <c:f>'Edge Cuts'!$I$72</c:f>
              <c:strCache>
                <c:ptCount val="1"/>
                <c:pt idx="0">
                  <c:v>Deep Multilevel, ε = 0.05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Cuts'!$A$73:$A$77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Cuts'!$I$73:$I$77</c:f>
              <c:numCache>
                <c:formatCode>General</c:formatCode>
                <c:ptCount val="5"/>
                <c:pt idx="0">
                  <c:v>1483.8</c:v>
                </c:pt>
                <c:pt idx="1">
                  <c:v>1549.8</c:v>
                </c:pt>
                <c:pt idx="2">
                  <c:v>1349.2</c:v>
                </c:pt>
                <c:pt idx="3">
                  <c:v>1613.2</c:v>
                </c:pt>
                <c:pt idx="4">
                  <c:v>991.2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F5-4205-8429-4943CABFD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33167"/>
        <c:axId val="1209394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Cuts'!$B$72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Cuts'!$A$73:$A$77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Cuts'!$B$73:$B$77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2494.8000000000002</c:v>
                      </c:pt>
                      <c:pt idx="1">
                        <c:v>2654.4</c:v>
                      </c:pt>
                      <c:pt idx="2">
                        <c:v>2695</c:v>
                      </c:pt>
                      <c:pt idx="3">
                        <c:v>2384.1999999999998</c:v>
                      </c:pt>
                      <c:pt idx="4">
                        <c:v>1631.2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E4D-4645-8E71-20FB705C49E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Cuts'!$C$72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Cuts'!$A$73:$A$77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Cuts'!$C$73:$C$77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2519.8000000000002</c:v>
                      </c:pt>
                      <c:pt idx="1">
                        <c:v>2677.4</c:v>
                      </c:pt>
                      <c:pt idx="2">
                        <c:v>2700.8</c:v>
                      </c:pt>
                      <c:pt idx="3">
                        <c:v>2460.1999999999998</c:v>
                      </c:pt>
                      <c:pt idx="4">
                        <c:v>1532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E4D-4645-8E71-20FB705C49E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Cuts'!$D$72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Cuts'!$A$73:$A$77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Cuts'!$D$73:$D$77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2721.8</c:v>
                      </c:pt>
                      <c:pt idx="1">
                        <c:v>2864.4</c:v>
                      </c:pt>
                      <c:pt idx="2">
                        <c:v>2814.4</c:v>
                      </c:pt>
                      <c:pt idx="3">
                        <c:v>2618</c:v>
                      </c:pt>
                      <c:pt idx="4">
                        <c:v>2528.8000000000002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E4D-4645-8E71-20FB705C49E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Cuts'!$E$72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Cuts'!$A$73:$A$77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Cuts'!$E$73:$E$77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2698</c:v>
                      </c:pt>
                      <c:pt idx="1">
                        <c:v>2882.2</c:v>
                      </c:pt>
                      <c:pt idx="2">
                        <c:v>2823</c:v>
                      </c:pt>
                      <c:pt idx="3">
                        <c:v>2771.8</c:v>
                      </c:pt>
                      <c:pt idx="4">
                        <c:v>1908.4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4D-4645-8E71-20FB705C49ED}"/>
                  </c:ext>
                </c:extLst>
              </c15:ser>
            </c15:filteredScatterSeries>
          </c:ext>
        </c:extLst>
      </c:scatterChart>
      <c:valAx>
        <c:axId val="12093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9407"/>
        <c:crosses val="autoZero"/>
        <c:crossBetween val="midCat"/>
      </c:valAx>
      <c:valAx>
        <c:axId val="12093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3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with Different Skewness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Cuts'!$K$80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Cuts'!$J$81:$J$85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Cuts'!$K$81:$K$85</c:f>
              <c:numCache>
                <c:formatCode>0%</c:formatCode>
                <c:ptCount val="5"/>
                <c:pt idx="0">
                  <c:v>-0.12609881782358298</c:v>
                </c:pt>
                <c:pt idx="1">
                  <c:v>-0.12165229232864273</c:v>
                </c:pt>
                <c:pt idx="2">
                  <c:v>-7.7347242921013373E-2</c:v>
                </c:pt>
                <c:pt idx="3">
                  <c:v>-7.1514423076923114E-2</c:v>
                </c:pt>
                <c:pt idx="4">
                  <c:v>-0.15341873745948445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26-4C7C-B8DB-0DC103BC0950}"/>
            </c:ext>
          </c:extLst>
        </c:ser>
        <c:ser>
          <c:idx val="1"/>
          <c:order val="1"/>
          <c:tx>
            <c:strRef>
              <c:f>'Edge Cuts'!$L$80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Cuts'!$J$81:$J$85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Cuts'!$L$81:$L$85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26-4C7C-B8DB-0DC103BC0950}"/>
            </c:ext>
          </c:extLst>
        </c:ser>
        <c:ser>
          <c:idx val="2"/>
          <c:order val="2"/>
          <c:tx>
            <c:strRef>
              <c:f>'Edge Cuts'!$M$80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Cuts'!$J$81:$J$85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Cuts'!$M$81:$M$85</c:f>
              <c:numCache>
                <c:formatCode>0%</c:formatCode>
                <c:ptCount val="5"/>
                <c:pt idx="0">
                  <c:v>-0.21688390421339804</c:v>
                </c:pt>
                <c:pt idx="1">
                  <c:v>-0.21743077621425336</c:v>
                </c:pt>
                <c:pt idx="2">
                  <c:v>2.0566318926974598E-2</c:v>
                </c:pt>
                <c:pt idx="3">
                  <c:v>-0.24579326923076925</c:v>
                </c:pt>
                <c:pt idx="4">
                  <c:v>0.26639913566908469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26-4C7C-B8DB-0DC103BC0950}"/>
            </c:ext>
          </c:extLst>
        </c:ser>
        <c:ser>
          <c:idx val="3"/>
          <c:order val="3"/>
          <c:tx>
            <c:strRef>
              <c:f>'Edge Cuts'!$N$80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Cuts'!$J$81:$J$85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Cuts'!$N$81:$N$85</c:f>
              <c:numCache>
                <c:formatCode>0%</c:formatCode>
                <c:ptCount val="5"/>
                <c:pt idx="0">
                  <c:v>-0.12443164595331924</c:v>
                </c:pt>
                <c:pt idx="1">
                  <c:v>-0.17249205628688152</c:v>
                </c:pt>
                <c:pt idx="2">
                  <c:v>-5.3651266766021203E-3</c:v>
                </c:pt>
                <c:pt idx="3">
                  <c:v>-0.21183894230769229</c:v>
                </c:pt>
                <c:pt idx="4">
                  <c:v>0.23506713999073925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26-4C7C-B8DB-0DC103BC0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981487"/>
        <c:axId val="243984367"/>
      </c:scatterChart>
      <c:valAx>
        <c:axId val="24398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84367"/>
        <c:crosses val="autoZero"/>
        <c:crossBetween val="midCat"/>
      </c:valAx>
      <c:valAx>
        <c:axId val="2439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Percentage of Decline</a:t>
                </a:r>
                <a:endParaRPr lang="en-US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1.705863755549724E-2"/>
              <c:y val="0.34590281123442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8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Run Time with Different Skewness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Runtimes!$F$60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Runtimes!$A$61:$A$65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Runtimes!$F$61:$F$65</c:f>
              <c:numCache>
                <c:formatCode>General</c:formatCode>
                <c:ptCount val="5"/>
                <c:pt idx="0">
                  <c:v>0.72819999999999996</c:v>
                </c:pt>
                <c:pt idx="1">
                  <c:v>0.66220000000000001</c:v>
                </c:pt>
                <c:pt idx="2">
                  <c:v>0.61419999999999997</c:v>
                </c:pt>
                <c:pt idx="3">
                  <c:v>0.76419999999999999</c:v>
                </c:pt>
                <c:pt idx="4">
                  <c:v>0.67220000000000002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0F-4647-A389-589724AD52CF}"/>
            </c:ext>
          </c:extLst>
        </c:ser>
        <c:ser>
          <c:idx val="5"/>
          <c:order val="5"/>
          <c:tx>
            <c:strRef>
              <c:f>Runtimes!$G$60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Runtimes!$A$61:$A$65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Runtimes!$G$61:$G$65</c:f>
              <c:numCache>
                <c:formatCode>General</c:formatCode>
                <c:ptCount val="5"/>
                <c:pt idx="0">
                  <c:v>1.0054000000000003</c:v>
                </c:pt>
                <c:pt idx="1">
                  <c:v>1.2742</c:v>
                </c:pt>
                <c:pt idx="2">
                  <c:v>0.84139999999999993</c:v>
                </c:pt>
                <c:pt idx="3">
                  <c:v>0.95979999999999988</c:v>
                </c:pt>
                <c:pt idx="4">
                  <c:v>0.80120000000000002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0F-4647-A389-589724AD52CF}"/>
            </c:ext>
          </c:extLst>
        </c:ser>
        <c:ser>
          <c:idx val="6"/>
          <c:order val="6"/>
          <c:tx>
            <c:strRef>
              <c:f>Runtimes!$H$60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Runtimes!$A$61:$A$65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Runtimes!$H$61:$H$65</c:f>
              <c:numCache>
                <c:formatCode>General</c:formatCode>
                <c:ptCount val="5"/>
                <c:pt idx="0">
                  <c:v>0.69220000000000004</c:v>
                </c:pt>
                <c:pt idx="1">
                  <c:v>0.70419999999999994</c:v>
                </c:pt>
                <c:pt idx="2">
                  <c:v>0.67860000000000009</c:v>
                </c:pt>
                <c:pt idx="3">
                  <c:v>0.77600000000000002</c:v>
                </c:pt>
                <c:pt idx="4">
                  <c:v>0.77100000000000002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FD-4138-956A-B398D63B1124}"/>
            </c:ext>
          </c:extLst>
        </c:ser>
        <c:ser>
          <c:idx val="7"/>
          <c:order val="7"/>
          <c:tx>
            <c:strRef>
              <c:f>Runtimes!$I$60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Runtimes!$A$61:$A$65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Runtimes!$I$61:$I$65</c:f>
              <c:numCache>
                <c:formatCode>General</c:formatCode>
                <c:ptCount val="5"/>
                <c:pt idx="0">
                  <c:v>0.65659999999999996</c:v>
                </c:pt>
                <c:pt idx="1">
                  <c:v>0.6402000000000001</c:v>
                </c:pt>
                <c:pt idx="2">
                  <c:v>0.61980000000000002</c:v>
                </c:pt>
                <c:pt idx="3">
                  <c:v>0.7016</c:v>
                </c:pt>
                <c:pt idx="4">
                  <c:v>0.78659999999999997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FD-4138-956A-B398D63B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58063"/>
        <c:axId val="128745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Runtimes!$B$60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Runtimes!$A$61:$A$65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Runtimes!$B$61:$B$65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2.5342000000000002</c:v>
                      </c:pt>
                      <c:pt idx="1">
                        <c:v>2.4666000000000001</c:v>
                      </c:pt>
                      <c:pt idx="2">
                        <c:v>2.5009999999999999</c:v>
                      </c:pt>
                      <c:pt idx="3">
                        <c:v>2.4625999999999997</c:v>
                      </c:pt>
                      <c:pt idx="4">
                        <c:v>2.1452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10F-4647-A389-589724AD52C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Runtimes!$C$60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Runtimes!$A$61:$A$65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Runtimes!$C$61:$C$65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2.6914000000000002</c:v>
                      </c:pt>
                      <c:pt idx="1">
                        <c:v>2.5458000000000003</c:v>
                      </c:pt>
                      <c:pt idx="2">
                        <c:v>2.2432000000000003</c:v>
                      </c:pt>
                      <c:pt idx="3">
                        <c:v>2.2627999999999999</c:v>
                      </c:pt>
                      <c:pt idx="4">
                        <c:v>2.2206000000000001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0F-4647-A389-589724AD52C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Runtimes!$D$60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Runtimes!$A$61:$A$65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Runtimes!$D$61:$D$65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0.55779999999999996</c:v>
                      </c:pt>
                      <c:pt idx="1">
                        <c:v>0.4556</c:v>
                      </c:pt>
                      <c:pt idx="2">
                        <c:v>0.42199999999999999</c:v>
                      </c:pt>
                      <c:pt idx="3">
                        <c:v>1.5432000000000001</c:v>
                      </c:pt>
                      <c:pt idx="4">
                        <c:v>1.6237999999999999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10F-4647-A389-589724AD52C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Runtimes!$E$60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Runtimes!$A$61:$A$65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Runtimes!$E$61:$E$65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0.2492</c:v>
                      </c:pt>
                      <c:pt idx="1">
                        <c:v>0.2752</c:v>
                      </c:pt>
                      <c:pt idx="2">
                        <c:v>0.25</c:v>
                      </c:pt>
                      <c:pt idx="3">
                        <c:v>1.1801999999999999</c:v>
                      </c:pt>
                      <c:pt idx="4">
                        <c:v>1.0983999999999998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10F-4647-A389-589724AD52CF}"/>
                  </c:ext>
                </c:extLst>
              </c15:ser>
            </c15:filteredScatterSeries>
          </c:ext>
        </c:extLst>
      </c:scatterChart>
      <c:valAx>
        <c:axId val="12875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45583"/>
        <c:crosses val="autoZero"/>
        <c:crossBetween val="midCat"/>
      </c:valAx>
      <c:valAx>
        <c:axId val="1287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Mean Deviation Percentage from Desired Partition Size</a:t>
            </a:r>
            <a:endParaRPr lang="en-US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CCM!$B$111</c:f>
              <c:strCache>
                <c:ptCount val="1"/>
                <c:pt idx="0">
                  <c:v>KaHIP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CCM!$A$112:$A$116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  <c:extLst xmlns:c15="http://schemas.microsoft.com/office/drawing/2012/chart"/>
            </c:numRef>
          </c:xVal>
          <c:yVal>
            <c:numRef>
              <c:f>CCM!$B$112:$B$116</c:f>
              <c:numCache>
                <c:formatCode>0.00%</c:formatCode>
                <c:ptCount val="5"/>
                <c:pt idx="0">
                  <c:v>0.68529400000000007</c:v>
                </c:pt>
                <c:pt idx="1">
                  <c:v>0.28793400000000002</c:v>
                </c:pt>
                <c:pt idx="2">
                  <c:v>2.8241800000000001E-2</c:v>
                </c:pt>
                <c:pt idx="3">
                  <c:v>0.39697940000000004</c:v>
                </c:pt>
                <c:pt idx="4">
                  <c:v>3.835944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BD2-475C-A204-BBAADC8602A3}"/>
            </c:ext>
          </c:extLst>
        </c:ser>
        <c:ser>
          <c:idx val="1"/>
          <c:order val="1"/>
          <c:tx>
            <c:strRef>
              <c:f>CCM!$C$111</c:f>
              <c:strCache>
                <c:ptCount val="1"/>
                <c:pt idx="0">
                  <c:v>KaMinPar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CCM!$A$112:$A$116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  <c:extLst xmlns:c15="http://schemas.microsoft.com/office/drawing/2012/chart"/>
            </c:numRef>
          </c:xVal>
          <c:yVal>
            <c:numRef>
              <c:f>CCM!$C$112:$C$116</c:f>
              <c:numCache>
                <c:formatCode>0.00%</c:formatCode>
                <c:ptCount val="5"/>
                <c:pt idx="0">
                  <c:v>0.69217400000000007</c:v>
                </c:pt>
                <c:pt idx="1">
                  <c:v>0.28385999999999995</c:v>
                </c:pt>
                <c:pt idx="2">
                  <c:v>1.0238000000000001E-2</c:v>
                </c:pt>
                <c:pt idx="3">
                  <c:v>0.40174320000000002</c:v>
                </c:pt>
                <c:pt idx="4">
                  <c:v>3.8688463999999998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7BD2-475C-A204-BBAADC8602A3}"/>
            </c:ext>
          </c:extLst>
        </c:ser>
        <c:ser>
          <c:idx val="3"/>
          <c:order val="3"/>
          <c:tx>
            <c:strRef>
              <c:f>CCM!$E$111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CCM!$A$112:$A$116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CCM!$E$112:$E$116</c:f>
              <c:numCache>
                <c:formatCode>General</c:formatCode>
                <c:ptCount val="5"/>
                <c:pt idx="0" formatCode="0.0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5C-41BC-9BDB-3743D46AD6A4}"/>
            </c:ext>
          </c:extLst>
        </c:ser>
        <c:ser>
          <c:idx val="4"/>
          <c:order val="4"/>
          <c:tx>
            <c:strRef>
              <c:f>CCM!$F$111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CCM!$A$112:$A$116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CCM!$F$112:$F$116</c:f>
              <c:numCache>
                <c:formatCode>0.00%</c:formatCode>
                <c:ptCount val="5"/>
                <c:pt idx="0">
                  <c:v>3.4376000000000004E-2</c:v>
                </c:pt>
                <c:pt idx="1">
                  <c:v>4.0850259999999999E-2</c:v>
                </c:pt>
                <c:pt idx="2">
                  <c:v>2.1534540000000001E-2</c:v>
                </c:pt>
                <c:pt idx="3">
                  <c:v>3.89684E-2</c:v>
                </c:pt>
                <c:pt idx="4">
                  <c:v>4.0677959999999999E-2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5C-41BC-9BDB-3743D46AD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433583"/>
        <c:axId val="22642734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CCM!$D$111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CCM!$A$112:$A$116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CCM!$D$112:$D$116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0.19237000000000001</c:v>
                      </c:pt>
                      <c:pt idx="4">
                        <c:v>3.8768380000000002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BD2-475C-A204-BBAADC8602A3}"/>
                  </c:ext>
                </c:extLst>
              </c15:ser>
            </c15:filteredScatterSeries>
          </c:ext>
        </c:extLst>
      </c:scatterChart>
      <c:valAx>
        <c:axId val="2264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27343"/>
        <c:crosses val="autoZero"/>
        <c:crossBetween val="midCat"/>
      </c:valAx>
      <c:valAx>
        <c:axId val="22642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33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baseline="0">
                <a:effectLst/>
              </a:rPr>
              <a:t>Cardinality Compliance Metric (CCM)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CCM!$B$101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CCM!$A$102:$A$106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CCM!$B$102:$B$106</c:f>
              <c:numCache>
                <c:formatCode>0%</c:formatCode>
                <c:ptCount val="5"/>
                <c:pt idx="0">
                  <c:v>0.49180000000000001</c:v>
                </c:pt>
                <c:pt idx="1">
                  <c:v>0.26040000000000002</c:v>
                </c:pt>
                <c:pt idx="2">
                  <c:v>9.7000000000000003E-3</c:v>
                </c:pt>
                <c:pt idx="3">
                  <c:v>0.34408000000000005</c:v>
                </c:pt>
                <c:pt idx="4">
                  <c:v>0.90340000000000009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8B-4A6A-B1BF-3AF623C8DABB}"/>
            </c:ext>
          </c:extLst>
        </c:ser>
        <c:ser>
          <c:idx val="1"/>
          <c:order val="1"/>
          <c:tx>
            <c:strRef>
              <c:f>CCM!$C$101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CCM!$A$102:$A$106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CCM!$C$102:$C$106</c:f>
              <c:numCache>
                <c:formatCode>0%</c:formatCode>
                <c:ptCount val="5"/>
                <c:pt idx="0">
                  <c:v>0.48280000000000001</c:v>
                </c:pt>
                <c:pt idx="1">
                  <c:v>0.26240000000000008</c:v>
                </c:pt>
                <c:pt idx="2">
                  <c:v>2.8080000000000001E-2</c:v>
                </c:pt>
                <c:pt idx="3">
                  <c:v>0.33877999999999997</c:v>
                </c:pt>
                <c:pt idx="4">
                  <c:v>0.8972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8B-4A6A-B1BF-3AF623C8DABB}"/>
            </c:ext>
          </c:extLst>
        </c:ser>
        <c:ser>
          <c:idx val="2"/>
          <c:order val="2"/>
          <c:tx>
            <c:strRef>
              <c:f>CCM!$D$101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CCM!$A$102:$A$106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CCM!$D$102:$D$106</c:f>
              <c:numCache>
                <c:formatCode>0%</c:formatCode>
                <c:ptCount val="5"/>
                <c:pt idx="0">
                  <c:v>1.7649999999999999E-3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42-42E9-B754-E6E9BC7E1F84}"/>
            </c:ext>
          </c:extLst>
        </c:ser>
        <c:ser>
          <c:idx val="3"/>
          <c:order val="3"/>
          <c:tx>
            <c:strRef>
              <c:f>CCM!$E$101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CCM!$A$102:$A$106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CCM!$E$102:$E$106</c:f>
              <c:numCache>
                <c:formatCode>0%</c:formatCode>
                <c:ptCount val="5"/>
                <c:pt idx="0" formatCode="General">
                  <c:v>0.15404000000000001</c:v>
                </c:pt>
                <c:pt idx="1">
                  <c:v>3.7926000000000001E-2</c:v>
                </c:pt>
                <c:pt idx="2">
                  <c:v>2.1520000000000001E-2</c:v>
                </c:pt>
                <c:pt idx="3">
                  <c:v>3.4943599999999998E-2</c:v>
                </c:pt>
                <c:pt idx="4">
                  <c:v>1.3763999999999998E-2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42-42E9-B754-E6E9BC7E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69951"/>
        <c:axId val="125070431"/>
      </c:scatterChart>
      <c:valAx>
        <c:axId val="12506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Skewness Valu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0431"/>
        <c:crosses val="autoZero"/>
        <c:crossBetween val="midCat"/>
      </c:valAx>
      <c:valAx>
        <c:axId val="1250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Contiguity!$F$62:$F$66</c:f>
              <c:numCache>
                <c:formatCode>General</c:formatCode>
                <c:ptCount val="5"/>
                <c:pt idx="0">
                  <c:v>22.4</c:v>
                </c:pt>
                <c:pt idx="1">
                  <c:v>25.6</c:v>
                </c:pt>
                <c:pt idx="2">
                  <c:v>19</c:v>
                </c:pt>
                <c:pt idx="3">
                  <c:v>20.2</c:v>
                </c:pt>
                <c:pt idx="4">
                  <c:v>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E1-4C4D-8A14-3D3B545517A0}"/>
            </c:ext>
          </c:extLst>
        </c:ser>
        <c:ser>
          <c:idx val="5"/>
          <c:order val="5"/>
          <c:tx>
            <c:strRef>
              <c:f>Contiguity!$G$61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Contiguity!$G$62:$G$66</c:f>
              <c:numCache>
                <c:formatCode>General</c:formatCode>
                <c:ptCount val="5"/>
                <c:pt idx="0">
                  <c:v>8.8000000000000007</c:v>
                </c:pt>
                <c:pt idx="1">
                  <c:v>6.6</c:v>
                </c:pt>
                <c:pt idx="2">
                  <c:v>10.199999999999999</c:v>
                </c:pt>
                <c:pt idx="3">
                  <c:v>11.4</c:v>
                </c:pt>
                <c:pt idx="4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E1-4C4D-8A14-3D3B545517A0}"/>
            </c:ext>
          </c:extLst>
        </c:ser>
        <c:ser>
          <c:idx val="6"/>
          <c:order val="6"/>
          <c:tx>
            <c:strRef>
              <c:f>Contiguity!$H$61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Contiguity!$H$62:$H$66</c:f>
              <c:numCache>
                <c:formatCode>General</c:formatCode>
                <c:ptCount val="5"/>
                <c:pt idx="0">
                  <c:v>163</c:v>
                </c:pt>
                <c:pt idx="1">
                  <c:v>158.4</c:v>
                </c:pt>
                <c:pt idx="2">
                  <c:v>5.6</c:v>
                </c:pt>
                <c:pt idx="3">
                  <c:v>141.6</c:v>
                </c:pt>
                <c:pt idx="4">
                  <c:v>123.4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9B-4847-9EE1-3FB9B9F74F13}"/>
            </c:ext>
          </c:extLst>
        </c:ser>
        <c:ser>
          <c:idx val="7"/>
          <c:order val="7"/>
          <c:tx>
            <c:strRef>
              <c:f>Contiguity!$I$61</c:f>
              <c:strCache>
                <c:ptCount val="1"/>
                <c:pt idx="0">
                  <c:v>Deep Multilevel, ε = 0.05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Contiguity!$I$62:$I$66</c:f>
              <c:numCache>
                <c:formatCode>General</c:formatCode>
                <c:ptCount val="5"/>
                <c:pt idx="0">
                  <c:v>84.4</c:v>
                </c:pt>
                <c:pt idx="1">
                  <c:v>82.8</c:v>
                </c:pt>
                <c:pt idx="2">
                  <c:v>13.8</c:v>
                </c:pt>
                <c:pt idx="3">
                  <c:v>91.2</c:v>
                </c:pt>
                <c:pt idx="4">
                  <c:v>155.4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9B-4847-9EE1-3FB9B9F7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424943"/>
        <c:axId val="2264297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Contiguity!$B$62:$B$66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50.4</c:v>
                      </c:pt>
                      <c:pt idx="1">
                        <c:v>19.399999999999999</c:v>
                      </c:pt>
                      <c:pt idx="2">
                        <c:v>8</c:v>
                      </c:pt>
                      <c:pt idx="3">
                        <c:v>49.6</c:v>
                      </c:pt>
                      <c:pt idx="4">
                        <c:v>21.4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AE1-4C4D-8A14-3D3B545517A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</c:v>
                      </c:pt>
                      <c:pt idx="1">
                        <c:v>64.400000000000006</c:v>
                      </c:pt>
                      <c:pt idx="2">
                        <c:v>5.8</c:v>
                      </c:pt>
                      <c:pt idx="3">
                        <c:v>42.4</c:v>
                      </c:pt>
                      <c:pt idx="4">
                        <c:v>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E1-4C4D-8A14-3D3B545517A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Contiguity!$D$62:$D$66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63.2</c:v>
                      </c:pt>
                      <c:pt idx="1">
                        <c:v>76.599999999999994</c:v>
                      </c:pt>
                      <c:pt idx="2">
                        <c:v>99</c:v>
                      </c:pt>
                      <c:pt idx="3">
                        <c:v>92.2</c:v>
                      </c:pt>
                      <c:pt idx="4">
                        <c:v>92.8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E1-4C4D-8A14-3D3B545517A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Contiguity!$E$62:$E$66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63.2</c:v>
                      </c:pt>
                      <c:pt idx="1">
                        <c:v>85</c:v>
                      </c:pt>
                      <c:pt idx="2">
                        <c:v>89.8</c:v>
                      </c:pt>
                      <c:pt idx="3">
                        <c:v>70.599999999999994</c:v>
                      </c:pt>
                      <c:pt idx="4">
                        <c:v>29.8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AE1-4C4D-8A14-3D3B545517A0}"/>
                  </c:ext>
                </c:extLst>
              </c15:ser>
            </c15:filteredScatterSeries>
          </c:ext>
        </c:extLst>
      </c:scatterChart>
      <c:valAx>
        <c:axId val="22642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29743"/>
        <c:crosses val="autoZero"/>
        <c:crossBetween val="midCat"/>
      </c:valAx>
      <c:valAx>
        <c:axId val="2264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Number of Connected 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2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1114425</xdr:colOff>
      <xdr:row>78</xdr:row>
      <xdr:rowOff>166687</xdr:rowOff>
    </xdr:from>
    <xdr:to>
      <xdr:col>7</xdr:col>
      <xdr:colOff>314325</xdr:colOff>
      <xdr:row>101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5630DE-8DCB-E9AE-936C-A8285461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722777</xdr:colOff>
      <xdr:row>87</xdr:row>
      <xdr:rowOff>79561</xdr:rowOff>
    </xdr:from>
    <xdr:to>
      <xdr:col>16</xdr:col>
      <xdr:colOff>280147</xdr:colOff>
      <xdr:row>110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40C40-B151-C5AD-3D46-5D9B01B29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658585</xdr:colOff>
      <xdr:row>67</xdr:row>
      <xdr:rowOff>78239</xdr:rowOff>
    </xdr:from>
    <xdr:to>
      <xdr:col>8</xdr:col>
      <xdr:colOff>81643</xdr:colOff>
      <xdr:row>90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F317D-491F-02F7-A6B7-B5E8E152D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841561</xdr:colOff>
      <xdr:row>118</xdr:row>
      <xdr:rowOff>125783</xdr:rowOff>
    </xdr:from>
    <xdr:to>
      <xdr:col>5</xdr:col>
      <xdr:colOff>885264</xdr:colOff>
      <xdr:row>141</xdr:row>
      <xdr:rowOff>123264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1DC34F-D374-3C1E-5029-75ECD7239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1417544</xdr:colOff>
      <xdr:row>120</xdr:row>
      <xdr:rowOff>11483</xdr:rowOff>
    </xdr:from>
    <xdr:to>
      <xdr:col>14</xdr:col>
      <xdr:colOff>33619</xdr:colOff>
      <xdr:row>143</xdr:row>
      <xdr:rowOff>22409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6A1CF-B11E-1E01-5517-A74ADC050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475692</xdr:colOff>
      <xdr:row>67</xdr:row>
      <xdr:rowOff>90485</xdr:rowOff>
    </xdr:from>
    <xdr:to>
      <xdr:col>7</xdr:col>
      <xdr:colOff>672353</xdr:colOff>
      <xdr:row>90</xdr:row>
      <xdr:rowOff>100852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EB349-C139-4D12-BB6B-37A984F0B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opLeftCell="A84" zoomScale="85" zoomScaleNormal="85" workbookViewId="0">
      <selection activeCell="M81" sqref="M81"/>
    </sheetView>
  </sheetViews>
  <sheetFormatPr defaultRowHeight="15"/>
  <cols>
    <col min="1" max="1" width="13.5703125" bestFit="1" customWidth="1"/>
    <col min="2" max="2" width="24.28515625" bestFit="1" customWidth="1"/>
    <col min="3" max="3" width="22.140625" bestFit="1" customWidth="1"/>
    <col min="4" max="4" width="38.28515625" bestFit="1" customWidth="1"/>
    <col min="5" max="5" width="35.42578125" bestFit="1" customWidth="1"/>
    <col min="8" max="8" width="21.85546875" bestFit="1" customWidth="1"/>
    <col min="9" max="9" width="23.28515625" bestFit="1" customWidth="1"/>
  </cols>
  <sheetData>
    <row r="1" spans="1:9">
      <c r="C1" t="s">
        <v>4</v>
      </c>
      <c r="D1" s="11">
        <v>108184312531</v>
      </c>
    </row>
    <row r="2" spans="1:9">
      <c r="A2" s="16" t="s">
        <v>15</v>
      </c>
      <c r="B2" s="16"/>
      <c r="C2" s="16"/>
      <c r="D2" s="16"/>
      <c r="E2" s="16"/>
      <c r="F2" s="16"/>
      <c r="G2" s="16"/>
    </row>
    <row r="3" spans="1:9">
      <c r="A3" s="15" t="s">
        <v>5</v>
      </c>
      <c r="B3" s="15"/>
      <c r="C3" s="15"/>
      <c r="D3" s="15"/>
      <c r="E3" s="15"/>
      <c r="F3" s="15"/>
      <c r="G3" s="15"/>
    </row>
    <row r="4" spans="1:9" ht="30">
      <c r="A4" s="5"/>
      <c r="B4" s="1" t="s">
        <v>6</v>
      </c>
      <c r="C4" s="6" t="s">
        <v>7</v>
      </c>
      <c r="D4" s="1" t="s">
        <v>8</v>
      </c>
      <c r="E4" s="6" t="s">
        <v>9</v>
      </c>
      <c r="F4" s="1" t="s">
        <v>1</v>
      </c>
      <c r="G4" s="1" t="s">
        <v>0</v>
      </c>
      <c r="H4" s="2" t="s">
        <v>23</v>
      </c>
      <c r="I4" s="10" t="s">
        <v>24</v>
      </c>
    </row>
    <row r="5" spans="1:9">
      <c r="A5" s="1" t="s">
        <v>10</v>
      </c>
      <c r="B5">
        <v>2540</v>
      </c>
      <c r="C5">
        <v>2681</v>
      </c>
      <c r="D5">
        <v>2695</v>
      </c>
      <c r="E5">
        <v>2660</v>
      </c>
      <c r="F5">
        <v>1466</v>
      </c>
      <c r="G5">
        <v>1353</v>
      </c>
      <c r="H5">
        <v>1091</v>
      </c>
      <c r="I5">
        <v>1384</v>
      </c>
    </row>
    <row r="6" spans="1:9">
      <c r="A6" s="1" t="s">
        <v>11</v>
      </c>
      <c r="B6">
        <v>2452</v>
      </c>
      <c r="C6">
        <v>2472</v>
      </c>
      <c r="D6">
        <v>2610</v>
      </c>
      <c r="E6">
        <v>2776</v>
      </c>
      <c r="F6">
        <v>1524</v>
      </c>
      <c r="G6">
        <v>1300</v>
      </c>
      <c r="H6">
        <v>1805</v>
      </c>
      <c r="I6">
        <v>1844</v>
      </c>
    </row>
    <row r="7" spans="1:9">
      <c r="A7" s="1" t="s">
        <v>12</v>
      </c>
      <c r="B7">
        <v>2598</v>
      </c>
      <c r="C7">
        <v>2380</v>
      </c>
      <c r="D7">
        <v>2765</v>
      </c>
      <c r="E7">
        <v>2581</v>
      </c>
      <c r="F7">
        <v>1506</v>
      </c>
      <c r="G7">
        <v>1335</v>
      </c>
      <c r="H7">
        <v>1974</v>
      </c>
      <c r="I7">
        <v>1269</v>
      </c>
    </row>
    <row r="8" spans="1:9">
      <c r="A8" s="1" t="s">
        <v>13</v>
      </c>
      <c r="B8">
        <v>2548</v>
      </c>
      <c r="C8">
        <v>2591</v>
      </c>
      <c r="D8">
        <v>2672</v>
      </c>
      <c r="E8">
        <v>2678</v>
      </c>
      <c r="F8">
        <v>1514</v>
      </c>
      <c r="G8">
        <v>1346</v>
      </c>
      <c r="H8">
        <v>1981</v>
      </c>
      <c r="I8">
        <v>1458</v>
      </c>
    </row>
    <row r="9" spans="1:9">
      <c r="A9" s="1" t="s">
        <v>14</v>
      </c>
      <c r="B9">
        <v>2336</v>
      </c>
      <c r="C9">
        <v>2475</v>
      </c>
      <c r="D9">
        <v>2867</v>
      </c>
      <c r="E9">
        <v>2795</v>
      </c>
      <c r="F9">
        <v>1420</v>
      </c>
      <c r="G9">
        <v>1264</v>
      </c>
      <c r="H9">
        <v>1178</v>
      </c>
      <c r="I9">
        <v>1464</v>
      </c>
    </row>
    <row r="14" spans="1:9">
      <c r="C14" t="s">
        <v>4</v>
      </c>
      <c r="D14" s="12">
        <v>447313219153</v>
      </c>
    </row>
    <row r="15" spans="1:9">
      <c r="A15" s="16" t="s">
        <v>18</v>
      </c>
      <c r="B15" s="16"/>
      <c r="C15" s="16"/>
      <c r="D15" s="16"/>
      <c r="E15" s="16"/>
      <c r="F15" s="16"/>
      <c r="G15" s="16"/>
    </row>
    <row r="16" spans="1:9">
      <c r="A16" s="15" t="s">
        <v>5</v>
      </c>
      <c r="B16" s="15"/>
      <c r="C16" s="15"/>
      <c r="D16" s="15"/>
      <c r="E16" s="15"/>
      <c r="F16" s="15"/>
      <c r="G16" s="15"/>
    </row>
    <row r="17" spans="1:9" ht="30">
      <c r="A17" s="5"/>
      <c r="B17" s="1" t="s">
        <v>6</v>
      </c>
      <c r="C17" s="6" t="s">
        <v>7</v>
      </c>
      <c r="D17" s="1" t="s">
        <v>8</v>
      </c>
      <c r="E17" s="6" t="s">
        <v>9</v>
      </c>
      <c r="F17" s="1" t="s">
        <v>1</v>
      </c>
      <c r="G17" s="1" t="s">
        <v>0</v>
      </c>
      <c r="H17" s="2" t="s">
        <v>23</v>
      </c>
      <c r="I17" s="10" t="s">
        <v>24</v>
      </c>
    </row>
    <row r="18" spans="1:9">
      <c r="A18" s="1" t="s">
        <v>10</v>
      </c>
      <c r="B18">
        <v>2542</v>
      </c>
      <c r="C18">
        <v>2751</v>
      </c>
      <c r="D18">
        <v>2742</v>
      </c>
      <c r="E18">
        <v>2896</v>
      </c>
      <c r="F18">
        <v>1494</v>
      </c>
      <c r="G18">
        <v>1338</v>
      </c>
      <c r="H18">
        <v>1657</v>
      </c>
      <c r="I18">
        <v>1402</v>
      </c>
    </row>
    <row r="19" spans="1:9">
      <c r="A19" s="1" t="s">
        <v>11</v>
      </c>
      <c r="B19">
        <v>2645</v>
      </c>
      <c r="C19">
        <v>2359</v>
      </c>
      <c r="D19">
        <v>2688</v>
      </c>
      <c r="E19">
        <v>2938</v>
      </c>
      <c r="F19">
        <v>1431</v>
      </c>
      <c r="G19">
        <v>1262</v>
      </c>
      <c r="H19">
        <v>1988</v>
      </c>
      <c r="I19">
        <v>1735</v>
      </c>
    </row>
    <row r="20" spans="1:9">
      <c r="A20" s="1" t="s">
        <v>12</v>
      </c>
      <c r="B20">
        <v>2747</v>
      </c>
      <c r="C20">
        <v>2834</v>
      </c>
      <c r="D20">
        <v>3017</v>
      </c>
      <c r="E20">
        <v>2793</v>
      </c>
      <c r="F20">
        <v>1447</v>
      </c>
      <c r="G20">
        <v>1334</v>
      </c>
      <c r="H20">
        <v>1572</v>
      </c>
      <c r="I20">
        <v>1688</v>
      </c>
    </row>
    <row r="21" spans="1:9">
      <c r="A21" s="1" t="s">
        <v>13</v>
      </c>
      <c r="B21">
        <v>2599</v>
      </c>
      <c r="C21">
        <v>2527</v>
      </c>
      <c r="D21">
        <v>2989</v>
      </c>
      <c r="E21">
        <v>2963</v>
      </c>
      <c r="F21">
        <v>1546</v>
      </c>
      <c r="G21">
        <v>1261</v>
      </c>
      <c r="H21">
        <v>1413</v>
      </c>
      <c r="I21">
        <v>1511</v>
      </c>
    </row>
    <row r="22" spans="1:9">
      <c r="A22" s="1" t="s">
        <v>14</v>
      </c>
      <c r="B22">
        <v>2739</v>
      </c>
      <c r="C22">
        <v>2916</v>
      </c>
      <c r="D22">
        <v>2886</v>
      </c>
      <c r="E22">
        <v>2821</v>
      </c>
      <c r="F22">
        <v>1495</v>
      </c>
      <c r="G22">
        <v>1414</v>
      </c>
      <c r="H22">
        <v>1416</v>
      </c>
      <c r="I22">
        <v>1413</v>
      </c>
    </row>
    <row r="27" spans="1:9">
      <c r="C27" t="s">
        <v>4</v>
      </c>
      <c r="D27" s="11">
        <v>283283283284</v>
      </c>
    </row>
    <row r="28" spans="1:9">
      <c r="A28" s="16" t="s">
        <v>19</v>
      </c>
      <c r="B28" s="16"/>
      <c r="C28" s="16"/>
      <c r="D28" s="16"/>
      <c r="E28" s="16"/>
      <c r="F28" s="16"/>
      <c r="G28" s="16"/>
    </row>
    <row r="29" spans="1:9">
      <c r="A29" s="15" t="s">
        <v>5</v>
      </c>
      <c r="B29" s="15"/>
      <c r="C29" s="15"/>
      <c r="D29" s="15"/>
      <c r="E29" s="15"/>
      <c r="F29" s="15"/>
      <c r="G29" s="15"/>
    </row>
    <row r="30" spans="1:9" ht="30">
      <c r="A30" s="5"/>
      <c r="B30" s="1" t="s">
        <v>6</v>
      </c>
      <c r="C30" s="6" t="s">
        <v>7</v>
      </c>
      <c r="D30" s="1" t="s">
        <v>8</v>
      </c>
      <c r="E30" s="6" t="s">
        <v>9</v>
      </c>
      <c r="F30" s="1" t="s">
        <v>1</v>
      </c>
      <c r="G30" s="1" t="s">
        <v>0</v>
      </c>
      <c r="H30" s="2" t="s">
        <v>23</v>
      </c>
      <c r="I30" s="10" t="s">
        <v>24</v>
      </c>
    </row>
    <row r="31" spans="1:9">
      <c r="A31" s="1" t="s">
        <v>10</v>
      </c>
      <c r="B31">
        <v>2667</v>
      </c>
      <c r="C31">
        <v>2765</v>
      </c>
      <c r="D31">
        <v>2941</v>
      </c>
      <c r="E31">
        <v>2817</v>
      </c>
      <c r="F31">
        <v>1468</v>
      </c>
      <c r="G31">
        <v>1257</v>
      </c>
      <c r="H31">
        <v>1324</v>
      </c>
      <c r="I31">
        <v>1346</v>
      </c>
    </row>
    <row r="32" spans="1:9">
      <c r="A32" s="1" t="s">
        <v>11</v>
      </c>
      <c r="B32">
        <v>2744</v>
      </c>
      <c r="C32">
        <v>2643</v>
      </c>
      <c r="D32">
        <v>2670</v>
      </c>
      <c r="E32">
        <v>2870</v>
      </c>
      <c r="F32">
        <v>1429</v>
      </c>
      <c r="G32">
        <v>1373</v>
      </c>
      <c r="H32">
        <v>1325</v>
      </c>
      <c r="I32">
        <v>1386</v>
      </c>
    </row>
    <row r="33" spans="1:9">
      <c r="A33" s="1" t="s">
        <v>12</v>
      </c>
      <c r="B33">
        <v>2602</v>
      </c>
      <c r="C33">
        <v>2683</v>
      </c>
      <c r="D33">
        <v>2886</v>
      </c>
      <c r="E33">
        <v>2675</v>
      </c>
      <c r="F33">
        <v>1405</v>
      </c>
      <c r="G33">
        <v>1271</v>
      </c>
      <c r="H33">
        <v>1329</v>
      </c>
      <c r="I33">
        <v>1310</v>
      </c>
    </row>
    <row r="34" spans="1:9">
      <c r="A34" s="1" t="s">
        <v>13</v>
      </c>
      <c r="B34">
        <v>2794</v>
      </c>
      <c r="C34">
        <v>2642</v>
      </c>
      <c r="D34">
        <v>2774</v>
      </c>
      <c r="E34">
        <v>2897</v>
      </c>
      <c r="F34">
        <v>1459</v>
      </c>
      <c r="G34">
        <v>1396</v>
      </c>
      <c r="H34">
        <v>1325</v>
      </c>
      <c r="I34">
        <v>1284</v>
      </c>
    </row>
    <row r="35" spans="1:9">
      <c r="A35" s="1" t="s">
        <v>14</v>
      </c>
      <c r="B35">
        <v>2668</v>
      </c>
      <c r="C35">
        <v>2771</v>
      </c>
      <c r="D35">
        <v>2801</v>
      </c>
      <c r="E35">
        <v>2856</v>
      </c>
      <c r="F35">
        <v>1468</v>
      </c>
      <c r="G35">
        <v>1413</v>
      </c>
      <c r="H35">
        <v>1269</v>
      </c>
      <c r="I35">
        <v>1420</v>
      </c>
    </row>
    <row r="40" spans="1:9">
      <c r="C40" t="s">
        <v>4</v>
      </c>
      <c r="D40" s="11">
        <v>447313219154</v>
      </c>
    </row>
    <row r="41" spans="1:9">
      <c r="A41" s="16" t="s">
        <v>20</v>
      </c>
      <c r="B41" s="16"/>
      <c r="C41" s="16"/>
      <c r="D41" s="16"/>
      <c r="E41" s="16"/>
      <c r="F41" s="16"/>
      <c r="G41" s="16"/>
    </row>
    <row r="42" spans="1:9">
      <c r="A42" s="15" t="s">
        <v>5</v>
      </c>
      <c r="B42" s="15"/>
      <c r="C42" s="15"/>
      <c r="D42" s="15"/>
      <c r="E42" s="15"/>
      <c r="F42" s="15"/>
      <c r="G42" s="15"/>
    </row>
    <row r="43" spans="1:9" ht="30">
      <c r="A43" s="5"/>
      <c r="B43" s="1" t="s">
        <v>6</v>
      </c>
      <c r="C43" s="6" t="s">
        <v>7</v>
      </c>
      <c r="D43" s="1" t="s">
        <v>8</v>
      </c>
      <c r="E43" s="6" t="s">
        <v>9</v>
      </c>
      <c r="F43" s="1" t="s">
        <v>1</v>
      </c>
      <c r="G43" s="1" t="s">
        <v>0</v>
      </c>
      <c r="H43" s="2" t="s">
        <v>23</v>
      </c>
      <c r="I43" s="10" t="s">
        <v>24</v>
      </c>
    </row>
    <row r="44" spans="1:9">
      <c r="A44" s="1" t="s">
        <v>10</v>
      </c>
      <c r="B44">
        <v>2049</v>
      </c>
      <c r="C44">
        <v>2516</v>
      </c>
      <c r="D44">
        <v>2631</v>
      </c>
      <c r="E44">
        <v>2635</v>
      </c>
      <c r="F44">
        <v>1380</v>
      </c>
      <c r="G44">
        <v>1410</v>
      </c>
      <c r="H44">
        <v>1715</v>
      </c>
      <c r="I44">
        <v>1714</v>
      </c>
    </row>
    <row r="45" spans="1:9">
      <c r="A45" s="1" t="s">
        <v>11</v>
      </c>
      <c r="B45">
        <v>2497</v>
      </c>
      <c r="C45">
        <v>2442</v>
      </c>
      <c r="D45">
        <v>2822</v>
      </c>
      <c r="E45">
        <v>2769</v>
      </c>
      <c r="F45">
        <v>1477</v>
      </c>
      <c r="G45">
        <v>1282</v>
      </c>
      <c r="H45">
        <v>1997</v>
      </c>
      <c r="I45">
        <v>1600</v>
      </c>
    </row>
    <row r="46" spans="1:9">
      <c r="A46" s="1" t="s">
        <v>12</v>
      </c>
      <c r="B46">
        <v>2502</v>
      </c>
      <c r="C46">
        <v>2554</v>
      </c>
      <c r="D46">
        <v>2478</v>
      </c>
      <c r="E46">
        <v>2853</v>
      </c>
      <c r="F46">
        <v>1429</v>
      </c>
      <c r="G46">
        <v>1312</v>
      </c>
      <c r="H46">
        <v>1712</v>
      </c>
      <c r="I46">
        <v>1807</v>
      </c>
    </row>
    <row r="47" spans="1:9">
      <c r="A47" s="1" t="s">
        <v>13</v>
      </c>
      <c r="B47">
        <v>2488</v>
      </c>
      <c r="C47">
        <v>2281</v>
      </c>
      <c r="D47">
        <v>2499</v>
      </c>
      <c r="E47">
        <v>2790</v>
      </c>
      <c r="F47">
        <v>1391</v>
      </c>
      <c r="G47">
        <v>1274</v>
      </c>
      <c r="H47">
        <v>1479</v>
      </c>
      <c r="I47">
        <v>1315</v>
      </c>
    </row>
    <row r="48" spans="1:9">
      <c r="A48" s="1" t="s">
        <v>14</v>
      </c>
      <c r="B48">
        <v>2385</v>
      </c>
      <c r="C48">
        <v>2508</v>
      </c>
      <c r="D48">
        <v>2660</v>
      </c>
      <c r="E48">
        <v>2812</v>
      </c>
      <c r="F48">
        <v>1455</v>
      </c>
      <c r="G48">
        <v>1378</v>
      </c>
      <c r="H48">
        <v>1389</v>
      </c>
      <c r="I48">
        <v>1630</v>
      </c>
    </row>
    <row r="50" spans="1:9">
      <c r="E50">
        <f>AVERAGE(H31:H35)</f>
        <v>1314.4</v>
      </c>
    </row>
    <row r="53" spans="1:9">
      <c r="C53" t="s">
        <v>4</v>
      </c>
      <c r="D53" s="13" t="s">
        <v>25</v>
      </c>
    </row>
    <row r="54" spans="1:9">
      <c r="A54" s="16" t="s">
        <v>21</v>
      </c>
      <c r="B54" s="16"/>
      <c r="C54" s="16"/>
      <c r="D54" s="16"/>
      <c r="E54" s="16"/>
      <c r="F54" s="16"/>
      <c r="G54" s="16"/>
    </row>
    <row r="55" spans="1:9">
      <c r="A55" s="15" t="s">
        <v>5</v>
      </c>
      <c r="B55" s="15"/>
      <c r="C55" s="15"/>
      <c r="D55" s="15"/>
      <c r="E55" s="15"/>
      <c r="F55" s="15"/>
      <c r="G55" s="15"/>
    </row>
    <row r="56" spans="1:9" ht="30">
      <c r="A56" s="5"/>
      <c r="B56" s="1" t="s">
        <v>6</v>
      </c>
      <c r="C56" s="6" t="s">
        <v>7</v>
      </c>
      <c r="D56" s="1" t="s">
        <v>8</v>
      </c>
      <c r="E56" s="6" t="s">
        <v>9</v>
      </c>
      <c r="F56" s="1" t="s">
        <v>1</v>
      </c>
      <c r="G56" s="1" t="s">
        <v>0</v>
      </c>
      <c r="H56" s="2" t="s">
        <v>23</v>
      </c>
      <c r="I56" s="10" t="s">
        <v>24</v>
      </c>
    </row>
    <row r="57" spans="1:9">
      <c r="A57" s="1" t="s">
        <v>10</v>
      </c>
      <c r="B57">
        <v>1795</v>
      </c>
      <c r="C57">
        <v>1760</v>
      </c>
      <c r="D57">
        <v>2489</v>
      </c>
      <c r="E57">
        <v>2020</v>
      </c>
      <c r="F57">
        <v>1502</v>
      </c>
      <c r="G57">
        <v>1265</v>
      </c>
      <c r="H57">
        <v>772</v>
      </c>
      <c r="I57">
        <v>1069</v>
      </c>
    </row>
    <row r="58" spans="1:9">
      <c r="A58" s="1" t="s">
        <v>11</v>
      </c>
      <c r="B58">
        <v>1545</v>
      </c>
      <c r="C58">
        <v>1250</v>
      </c>
      <c r="D58">
        <v>2485</v>
      </c>
      <c r="E58">
        <v>2013</v>
      </c>
      <c r="F58">
        <v>1461</v>
      </c>
      <c r="G58">
        <v>1279</v>
      </c>
      <c r="H58">
        <v>708</v>
      </c>
      <c r="I58">
        <v>1077</v>
      </c>
    </row>
    <row r="59" spans="1:9">
      <c r="A59" s="1" t="s">
        <v>12</v>
      </c>
      <c r="B59">
        <v>1524</v>
      </c>
      <c r="C59">
        <v>1457</v>
      </c>
      <c r="D59">
        <v>2516</v>
      </c>
      <c r="E59">
        <v>1867</v>
      </c>
      <c r="F59">
        <v>1531</v>
      </c>
      <c r="G59">
        <v>1325</v>
      </c>
      <c r="H59">
        <v>1460</v>
      </c>
      <c r="I59">
        <v>1111</v>
      </c>
    </row>
    <row r="60" spans="1:9">
      <c r="A60" s="1" t="s">
        <v>13</v>
      </c>
      <c r="B60">
        <v>1606</v>
      </c>
      <c r="C60">
        <v>1864</v>
      </c>
      <c r="D60">
        <v>2574</v>
      </c>
      <c r="E60">
        <v>1965</v>
      </c>
      <c r="F60">
        <v>1462</v>
      </c>
      <c r="G60">
        <v>1333</v>
      </c>
      <c r="H60">
        <v>978</v>
      </c>
      <c r="I60">
        <v>828</v>
      </c>
    </row>
    <row r="61" spans="1:9">
      <c r="A61" s="1" t="s">
        <v>14</v>
      </c>
      <c r="B61">
        <v>1686</v>
      </c>
      <c r="C61">
        <v>1329</v>
      </c>
      <c r="D61">
        <v>2580</v>
      </c>
      <c r="E61">
        <v>1677</v>
      </c>
      <c r="F61">
        <v>1517</v>
      </c>
      <c r="G61">
        <v>1277</v>
      </c>
      <c r="H61">
        <v>835</v>
      </c>
      <c r="I61">
        <v>871</v>
      </c>
    </row>
    <row r="71" spans="1:14">
      <c r="A71" s="17" t="s">
        <v>22</v>
      </c>
      <c r="B71" s="17"/>
      <c r="C71" s="17"/>
      <c r="D71" s="17"/>
      <c r="E71" s="17"/>
      <c r="F71" s="17"/>
      <c r="G71" s="17"/>
    </row>
    <row r="72" spans="1:14" ht="30">
      <c r="A72" s="5"/>
      <c r="B72" s="1" t="s">
        <v>6</v>
      </c>
      <c r="C72" s="6" t="s">
        <v>7</v>
      </c>
      <c r="D72" s="1" t="s">
        <v>8</v>
      </c>
      <c r="E72" s="6" t="s">
        <v>9</v>
      </c>
      <c r="F72" s="1" t="s">
        <v>1</v>
      </c>
      <c r="G72" s="1" t="s">
        <v>0</v>
      </c>
      <c r="H72" s="2" t="s">
        <v>23</v>
      </c>
      <c r="I72" s="10" t="s">
        <v>24</v>
      </c>
    </row>
    <row r="73" spans="1:14">
      <c r="A73" s="2">
        <v>0.7</v>
      </c>
      <c r="B73">
        <f t="shared" ref="B73:G73" si="0">AVERAGE(B5:B9)</f>
        <v>2494.8000000000002</v>
      </c>
      <c r="C73">
        <f t="shared" si="0"/>
        <v>2519.8000000000002</v>
      </c>
      <c r="D73">
        <f t="shared" si="0"/>
        <v>2721.8</v>
      </c>
      <c r="E73">
        <f t="shared" si="0"/>
        <v>2698</v>
      </c>
      <c r="F73">
        <f t="shared" si="0"/>
        <v>1486</v>
      </c>
      <c r="G73">
        <f t="shared" si="0"/>
        <v>1319.6</v>
      </c>
      <c r="H73">
        <f>AVERAGE(H5:H9)</f>
        <v>1605.8</v>
      </c>
      <c r="I73">
        <f>AVERAGE(I5:I9)</f>
        <v>1483.8</v>
      </c>
    </row>
    <row r="74" spans="1:14">
      <c r="A74" s="3">
        <v>0.3</v>
      </c>
      <c r="B74">
        <f t="shared" ref="B74:G74" si="1">AVERAGE(B18:B22)</f>
        <v>2654.4</v>
      </c>
      <c r="C74">
        <f t="shared" si="1"/>
        <v>2677.4</v>
      </c>
      <c r="D74">
        <f t="shared" si="1"/>
        <v>2864.4</v>
      </c>
      <c r="E74">
        <f t="shared" si="1"/>
        <v>2882.2</v>
      </c>
      <c r="F74">
        <f t="shared" si="1"/>
        <v>1482.6</v>
      </c>
      <c r="G74">
        <f t="shared" si="1"/>
        <v>1321.8</v>
      </c>
      <c r="H74">
        <f>AVERAGE(H18:H22)</f>
        <v>1609.2</v>
      </c>
      <c r="I74">
        <f>AVERAGE(I18:I22)</f>
        <v>1549.8</v>
      </c>
    </row>
    <row r="75" spans="1:14">
      <c r="A75" s="3">
        <v>0</v>
      </c>
      <c r="B75">
        <f t="shared" ref="B75:G75" si="2">AVERAGE(B31:B35)</f>
        <v>2695</v>
      </c>
      <c r="C75">
        <f t="shared" si="2"/>
        <v>2700.8</v>
      </c>
      <c r="D75">
        <f t="shared" si="2"/>
        <v>2814.4</v>
      </c>
      <c r="E75">
        <f t="shared" si="2"/>
        <v>2823</v>
      </c>
      <c r="F75">
        <f t="shared" si="2"/>
        <v>1445.8</v>
      </c>
      <c r="G75">
        <f t="shared" si="2"/>
        <v>1342</v>
      </c>
      <c r="H75">
        <f>AVERAGE(H31:H35)</f>
        <v>1314.4</v>
      </c>
      <c r="I75">
        <f>AVERAGE(I31:I35)</f>
        <v>1349.2</v>
      </c>
    </row>
    <row r="76" spans="1:14">
      <c r="A76" s="3">
        <v>-0.3</v>
      </c>
      <c r="B76">
        <f t="shared" ref="B76:G76" si="3">AVERAGE(B44:B48)</f>
        <v>2384.1999999999998</v>
      </c>
      <c r="C76">
        <f t="shared" si="3"/>
        <v>2460.1999999999998</v>
      </c>
      <c r="D76">
        <f t="shared" si="3"/>
        <v>2618</v>
      </c>
      <c r="E76">
        <f t="shared" si="3"/>
        <v>2771.8</v>
      </c>
      <c r="F76">
        <f t="shared" si="3"/>
        <v>1426.4</v>
      </c>
      <c r="G76">
        <f t="shared" si="3"/>
        <v>1331.2</v>
      </c>
      <c r="H76">
        <f>AVERAGE(H44:H48)</f>
        <v>1658.4</v>
      </c>
      <c r="I76">
        <f>AVERAGE(I44:I48)</f>
        <v>1613.2</v>
      </c>
    </row>
    <row r="77" spans="1:14">
      <c r="A77" s="3">
        <v>-0.7</v>
      </c>
      <c r="B77">
        <f t="shared" ref="B77:G77" si="4">AVERAGE(B57:B61)</f>
        <v>1631.2</v>
      </c>
      <c r="C77">
        <f t="shared" si="4"/>
        <v>1532</v>
      </c>
      <c r="D77">
        <f t="shared" si="4"/>
        <v>2528.8000000000002</v>
      </c>
      <c r="E77">
        <f t="shared" si="4"/>
        <v>1908.4</v>
      </c>
      <c r="F77">
        <f t="shared" si="4"/>
        <v>1494.6</v>
      </c>
      <c r="G77">
        <f t="shared" si="4"/>
        <v>1295.8</v>
      </c>
      <c r="H77">
        <f>AVERAGE(H57:H61)</f>
        <v>950.6</v>
      </c>
      <c r="I77">
        <f>AVERAGE(I57:I61)</f>
        <v>991.2</v>
      </c>
    </row>
    <row r="80" spans="1:14">
      <c r="J80" s="5"/>
      <c r="K80" s="1" t="s">
        <v>1</v>
      </c>
      <c r="L80" s="1" t="s">
        <v>0</v>
      </c>
      <c r="M80" s="2" t="s">
        <v>27</v>
      </c>
      <c r="N80" s="10" t="s">
        <v>26</v>
      </c>
    </row>
    <row r="81" spans="10:14">
      <c r="J81" s="2">
        <v>0.7</v>
      </c>
      <c r="K81" s="22">
        <f>(G73 - F73) / G73</f>
        <v>-0.12609881782358298</v>
      </c>
      <c r="L81" s="22">
        <f>(G73 - G73) / G73</f>
        <v>0</v>
      </c>
      <c r="M81" s="22">
        <f>(G73 - H73) / G73</f>
        <v>-0.21688390421339804</v>
      </c>
      <c r="N81" s="22">
        <f>(G73 - I73) / G73</f>
        <v>-0.12443164595331924</v>
      </c>
    </row>
    <row r="82" spans="10:14">
      <c r="J82" s="3">
        <v>0.3</v>
      </c>
      <c r="K82" s="22">
        <f t="shared" ref="K82:K85" si="5">(G74 - F74) / G74</f>
        <v>-0.12165229232864273</v>
      </c>
      <c r="L82" s="22">
        <f t="shared" ref="L82:L85" si="6">(G74 - G74) / G74</f>
        <v>0</v>
      </c>
      <c r="M82" s="22">
        <f t="shared" ref="M82:M85" si="7">(G74 - H74) / G74</f>
        <v>-0.21743077621425336</v>
      </c>
      <c r="N82" s="22">
        <f t="shared" ref="N82:N85" si="8">(G74 - I74) / G74</f>
        <v>-0.17249205628688152</v>
      </c>
    </row>
    <row r="83" spans="10:14">
      <c r="J83" s="3">
        <v>0</v>
      </c>
      <c r="K83" s="22">
        <f t="shared" si="5"/>
        <v>-7.7347242921013373E-2</v>
      </c>
      <c r="L83" s="22">
        <f t="shared" si="6"/>
        <v>0</v>
      </c>
      <c r="M83" s="22">
        <f t="shared" si="7"/>
        <v>2.0566318926974598E-2</v>
      </c>
      <c r="N83" s="22">
        <f t="shared" si="8"/>
        <v>-5.3651266766021203E-3</v>
      </c>
    </row>
    <row r="84" spans="10:14">
      <c r="J84" s="3">
        <v>-0.3</v>
      </c>
      <c r="K84" s="22">
        <f t="shared" si="5"/>
        <v>-7.1514423076923114E-2</v>
      </c>
      <c r="L84" s="22">
        <f t="shared" si="6"/>
        <v>0</v>
      </c>
      <c r="M84" s="22">
        <f t="shared" si="7"/>
        <v>-0.24579326923076925</v>
      </c>
      <c r="N84" s="22">
        <f t="shared" si="8"/>
        <v>-0.21183894230769229</v>
      </c>
    </row>
    <row r="85" spans="10:14">
      <c r="J85" s="3">
        <v>-0.7</v>
      </c>
      <c r="K85" s="22">
        <f t="shared" si="5"/>
        <v>-0.15341873745948445</v>
      </c>
      <c r="L85" s="22">
        <f t="shared" si="6"/>
        <v>0</v>
      </c>
      <c r="M85" s="22">
        <f t="shared" si="7"/>
        <v>0.26639913566908469</v>
      </c>
      <c r="N85" s="22">
        <f t="shared" si="8"/>
        <v>0.23506713999073925</v>
      </c>
    </row>
  </sheetData>
  <mergeCells count="11">
    <mergeCell ref="A71:G71"/>
    <mergeCell ref="A41:G41"/>
    <mergeCell ref="A42:G42"/>
    <mergeCell ref="A54:G54"/>
    <mergeCell ref="A55:G55"/>
    <mergeCell ref="A29:G29"/>
    <mergeCell ref="A2:G2"/>
    <mergeCell ref="A3:G3"/>
    <mergeCell ref="A15:G15"/>
    <mergeCell ref="A16:G16"/>
    <mergeCell ref="A28:G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topLeftCell="A57" zoomScale="70" zoomScaleNormal="70" workbookViewId="0">
      <selection activeCell="H61" sqref="H61"/>
    </sheetView>
  </sheetViews>
  <sheetFormatPr defaultRowHeight="15"/>
  <cols>
    <col min="2" max="3" width="15.85546875" bestFit="1" customWidth="1"/>
    <col min="4" max="4" width="38.28515625" bestFit="1" customWidth="1"/>
    <col min="5" max="5" width="15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>
      <c r="A1" s="16" t="s">
        <v>15</v>
      </c>
      <c r="B1" s="16"/>
      <c r="C1" s="16"/>
      <c r="D1" s="16"/>
      <c r="E1" s="16"/>
      <c r="F1" s="16"/>
      <c r="G1" s="16"/>
    </row>
    <row r="2" spans="1:9">
      <c r="A2" s="18" t="s">
        <v>16</v>
      </c>
      <c r="B2" s="19"/>
      <c r="C2" s="19"/>
      <c r="D2" s="19"/>
      <c r="E2" s="19"/>
      <c r="F2" s="19"/>
      <c r="G2" s="20"/>
    </row>
    <row r="3" spans="1:9" ht="60">
      <c r="A3" s="7"/>
      <c r="B3" s="1" t="s">
        <v>6</v>
      </c>
      <c r="C3" s="6" t="s">
        <v>7</v>
      </c>
      <c r="D3" s="1" t="s">
        <v>8</v>
      </c>
      <c r="E3" s="6" t="s">
        <v>9</v>
      </c>
      <c r="F3" s="1" t="s">
        <v>1</v>
      </c>
      <c r="G3" s="1" t="s">
        <v>0</v>
      </c>
      <c r="H3" s="2" t="s">
        <v>23</v>
      </c>
      <c r="I3" s="10" t="s">
        <v>24</v>
      </c>
    </row>
    <row r="4" spans="1:9">
      <c r="A4" s="1" t="s">
        <v>10</v>
      </c>
      <c r="B4">
        <v>2.8370000000000002</v>
      </c>
      <c r="C4">
        <v>2.3860000000000001</v>
      </c>
      <c r="D4">
        <v>0.504</v>
      </c>
      <c r="E4">
        <v>0.215</v>
      </c>
      <c r="F4">
        <v>1.2</v>
      </c>
      <c r="G4">
        <v>1.296</v>
      </c>
      <c r="H4">
        <v>0.56200000000000006</v>
      </c>
      <c r="I4">
        <v>0.65800000000000003</v>
      </c>
    </row>
    <row r="5" spans="1:9">
      <c r="A5" s="1" t="s">
        <v>11</v>
      </c>
      <c r="B5">
        <v>2.4209999999999998</v>
      </c>
      <c r="C5">
        <v>2.7010000000000001</v>
      </c>
      <c r="D5">
        <v>0.504</v>
      </c>
      <c r="E5">
        <v>0.247</v>
      </c>
      <c r="F5">
        <v>0.61099999999999999</v>
      </c>
      <c r="G5">
        <v>1.042</v>
      </c>
      <c r="H5">
        <v>0.67400000000000004</v>
      </c>
      <c r="I5">
        <v>0.66</v>
      </c>
    </row>
    <row r="6" spans="1:9">
      <c r="A6" s="1" t="s">
        <v>12</v>
      </c>
      <c r="B6">
        <v>2.4830000000000001</v>
      </c>
      <c r="C6">
        <v>2.8039999999999998</v>
      </c>
      <c r="D6">
        <v>0.52900000000000003</v>
      </c>
      <c r="E6">
        <v>0.23499999999999999</v>
      </c>
      <c r="F6">
        <v>0.64100000000000001</v>
      </c>
      <c r="G6">
        <v>0.92100000000000004</v>
      </c>
      <c r="H6">
        <v>0.82399999999999995</v>
      </c>
      <c r="I6">
        <v>0.69</v>
      </c>
    </row>
    <row r="7" spans="1:9">
      <c r="A7" s="1" t="s">
        <v>13</v>
      </c>
      <c r="B7">
        <v>2.4340000000000002</v>
      </c>
      <c r="C7">
        <v>2.7570000000000001</v>
      </c>
      <c r="D7">
        <v>0.59799999999999998</v>
      </c>
      <c r="E7">
        <v>0.24399999999999999</v>
      </c>
      <c r="F7">
        <v>0.60799999999999998</v>
      </c>
      <c r="G7">
        <v>0.77200000000000002</v>
      </c>
      <c r="H7">
        <v>0.75</v>
      </c>
      <c r="I7">
        <v>0.626</v>
      </c>
    </row>
    <row r="8" spans="1:9">
      <c r="A8" s="1" t="s">
        <v>14</v>
      </c>
      <c r="B8">
        <v>2.496</v>
      </c>
      <c r="C8">
        <v>2.8090000000000002</v>
      </c>
      <c r="D8">
        <v>0.65400000000000003</v>
      </c>
      <c r="E8">
        <v>0.30499999999999999</v>
      </c>
      <c r="F8">
        <v>0.58099999999999996</v>
      </c>
      <c r="G8">
        <v>0.996</v>
      </c>
      <c r="H8">
        <v>0.65100000000000002</v>
      </c>
      <c r="I8">
        <v>0.64900000000000002</v>
      </c>
    </row>
    <row r="13" spans="1:9">
      <c r="A13" s="16" t="s">
        <v>18</v>
      </c>
      <c r="B13" s="16"/>
      <c r="C13" s="16"/>
      <c r="D13" s="16"/>
      <c r="E13" s="16"/>
      <c r="F13" s="16"/>
      <c r="G13" s="16"/>
    </row>
    <row r="14" spans="1:9">
      <c r="A14" s="18" t="s">
        <v>16</v>
      </c>
      <c r="B14" s="19"/>
      <c r="C14" s="19"/>
      <c r="D14" s="19"/>
      <c r="E14" s="19"/>
      <c r="F14" s="19"/>
      <c r="G14" s="20"/>
    </row>
    <row r="15" spans="1:9" ht="60">
      <c r="A15" s="7"/>
      <c r="B15" s="1" t="s">
        <v>6</v>
      </c>
      <c r="C15" s="6" t="s">
        <v>7</v>
      </c>
      <c r="D15" s="1" t="s">
        <v>8</v>
      </c>
      <c r="E15" s="6" t="s">
        <v>9</v>
      </c>
      <c r="F15" s="1" t="s">
        <v>1</v>
      </c>
      <c r="G15" s="1" t="s">
        <v>0</v>
      </c>
      <c r="H15" s="2" t="s">
        <v>23</v>
      </c>
      <c r="I15" s="10" t="s">
        <v>24</v>
      </c>
    </row>
    <row r="16" spans="1:9">
      <c r="A16" s="1" t="s">
        <v>10</v>
      </c>
      <c r="B16">
        <v>2.2469999999999999</v>
      </c>
      <c r="C16">
        <v>2.302</v>
      </c>
      <c r="D16">
        <v>0.26700000000000002</v>
      </c>
      <c r="E16">
        <v>0.22800000000000001</v>
      </c>
      <c r="F16">
        <v>0.61299999999999999</v>
      </c>
      <c r="G16">
        <v>1.331</v>
      </c>
      <c r="H16">
        <v>0.65500000000000003</v>
      </c>
      <c r="I16">
        <v>0.59299999999999997</v>
      </c>
    </row>
    <row r="17" spans="1:9">
      <c r="A17" s="1" t="s">
        <v>11</v>
      </c>
      <c r="B17">
        <v>2.3940000000000001</v>
      </c>
      <c r="C17">
        <v>2.6339999999999999</v>
      </c>
      <c r="D17">
        <v>0.498</v>
      </c>
      <c r="E17">
        <v>0.30599999999999999</v>
      </c>
      <c r="F17">
        <v>0.69599999999999995</v>
      </c>
      <c r="G17">
        <v>1.1040000000000001</v>
      </c>
      <c r="H17">
        <v>0.66700000000000004</v>
      </c>
      <c r="I17">
        <v>0.66400000000000003</v>
      </c>
    </row>
    <row r="18" spans="1:9">
      <c r="A18" s="1" t="s">
        <v>12</v>
      </c>
      <c r="B18">
        <v>2.5219999999999998</v>
      </c>
      <c r="C18">
        <v>2.6219999999999999</v>
      </c>
      <c r="D18">
        <v>0.56200000000000006</v>
      </c>
      <c r="E18">
        <v>0.26300000000000001</v>
      </c>
      <c r="F18">
        <v>0.59099999999999997</v>
      </c>
      <c r="G18">
        <v>1.296</v>
      </c>
      <c r="H18">
        <v>0.70199999999999996</v>
      </c>
      <c r="I18">
        <v>0.64400000000000002</v>
      </c>
    </row>
    <row r="19" spans="1:9">
      <c r="A19" s="1" t="s">
        <v>13</v>
      </c>
      <c r="B19">
        <v>2.8279999999999998</v>
      </c>
      <c r="C19">
        <v>2.4660000000000002</v>
      </c>
      <c r="D19">
        <v>0.48299999999999998</v>
      </c>
      <c r="E19">
        <v>0.24</v>
      </c>
      <c r="F19">
        <v>0.77100000000000002</v>
      </c>
      <c r="G19">
        <v>1.2370000000000001</v>
      </c>
      <c r="H19">
        <v>0.753</v>
      </c>
      <c r="I19">
        <v>0.64500000000000002</v>
      </c>
    </row>
    <row r="20" spans="1:9">
      <c r="A20" s="1" t="s">
        <v>14</v>
      </c>
      <c r="B20">
        <v>2.3420000000000001</v>
      </c>
      <c r="C20">
        <v>2.7050000000000001</v>
      </c>
      <c r="D20">
        <v>0.46800000000000003</v>
      </c>
      <c r="E20">
        <v>0.33900000000000002</v>
      </c>
      <c r="F20">
        <v>0.64</v>
      </c>
      <c r="G20">
        <v>1.403</v>
      </c>
      <c r="H20">
        <v>0.74399999999999999</v>
      </c>
      <c r="I20">
        <v>0.65500000000000003</v>
      </c>
    </row>
    <row r="24" spans="1:9">
      <c r="A24" s="16" t="s">
        <v>19</v>
      </c>
      <c r="B24" s="16"/>
      <c r="C24" s="16"/>
      <c r="D24" s="16"/>
      <c r="E24" s="16"/>
      <c r="F24" s="16"/>
      <c r="G24" s="16"/>
    </row>
    <row r="25" spans="1:9">
      <c r="A25" s="18" t="s">
        <v>16</v>
      </c>
      <c r="B25" s="19"/>
      <c r="C25" s="19"/>
      <c r="D25" s="19"/>
      <c r="E25" s="19"/>
      <c r="F25" s="19"/>
      <c r="G25" s="20"/>
    </row>
    <row r="26" spans="1:9" ht="60">
      <c r="A26" s="7"/>
      <c r="B26" s="1" t="s">
        <v>6</v>
      </c>
      <c r="C26" s="6" t="s">
        <v>7</v>
      </c>
      <c r="D26" s="1" t="s">
        <v>8</v>
      </c>
      <c r="E26" s="6" t="s">
        <v>9</v>
      </c>
      <c r="F26" s="1" t="s">
        <v>1</v>
      </c>
      <c r="G26" s="1" t="s">
        <v>0</v>
      </c>
      <c r="H26" s="2" t="s">
        <v>23</v>
      </c>
      <c r="I26" s="10" t="s">
        <v>24</v>
      </c>
    </row>
    <row r="27" spans="1:9">
      <c r="A27" s="1" t="s">
        <v>10</v>
      </c>
      <c r="B27">
        <v>2.7970000000000002</v>
      </c>
      <c r="C27">
        <v>2.137</v>
      </c>
      <c r="D27">
        <v>0.36399999999999999</v>
      </c>
      <c r="E27">
        <v>0.23100000000000001</v>
      </c>
      <c r="F27">
        <v>0.61099999999999999</v>
      </c>
      <c r="G27">
        <v>0.69299999999999995</v>
      </c>
      <c r="H27">
        <v>0.61</v>
      </c>
      <c r="I27">
        <v>0.54400000000000004</v>
      </c>
    </row>
    <row r="28" spans="1:9">
      <c r="A28" s="1" t="s">
        <v>11</v>
      </c>
      <c r="B28">
        <v>2.3260000000000001</v>
      </c>
      <c r="C28">
        <v>2.0870000000000002</v>
      </c>
      <c r="D28">
        <v>0.39800000000000002</v>
      </c>
      <c r="E28">
        <v>0.27700000000000002</v>
      </c>
      <c r="F28">
        <v>0.60399999999999998</v>
      </c>
      <c r="G28">
        <v>0.78700000000000003</v>
      </c>
      <c r="H28">
        <v>0.67200000000000004</v>
      </c>
      <c r="I28">
        <v>0.63400000000000001</v>
      </c>
    </row>
    <row r="29" spans="1:9">
      <c r="A29" s="1" t="s">
        <v>12</v>
      </c>
      <c r="B29">
        <v>2.3420000000000001</v>
      </c>
      <c r="C29">
        <v>2.3090000000000002</v>
      </c>
      <c r="D29">
        <v>0.44600000000000001</v>
      </c>
      <c r="E29">
        <v>0.25600000000000001</v>
      </c>
      <c r="F29">
        <v>0.61799999999999999</v>
      </c>
      <c r="G29">
        <v>0.77500000000000002</v>
      </c>
      <c r="H29">
        <v>0.74099999999999999</v>
      </c>
      <c r="I29">
        <v>0.66</v>
      </c>
    </row>
    <row r="30" spans="1:9">
      <c r="A30" s="1" t="s">
        <v>13</v>
      </c>
      <c r="B30">
        <v>2.5840000000000001</v>
      </c>
      <c r="C30">
        <v>2.145</v>
      </c>
      <c r="D30">
        <v>0.40300000000000002</v>
      </c>
      <c r="E30">
        <v>0.245</v>
      </c>
      <c r="F30">
        <v>0.61699999999999999</v>
      </c>
      <c r="G30">
        <v>1.004</v>
      </c>
      <c r="H30">
        <v>0.745</v>
      </c>
      <c r="I30">
        <v>0.63700000000000001</v>
      </c>
    </row>
    <row r="31" spans="1:9">
      <c r="A31" s="1" t="s">
        <v>14</v>
      </c>
      <c r="B31">
        <v>2.456</v>
      </c>
      <c r="C31">
        <v>2.5379999999999998</v>
      </c>
      <c r="D31">
        <v>0.499</v>
      </c>
      <c r="E31">
        <v>0.24099999999999999</v>
      </c>
      <c r="F31">
        <v>0.621</v>
      </c>
      <c r="G31">
        <v>0.94799999999999995</v>
      </c>
      <c r="H31">
        <v>0.625</v>
      </c>
      <c r="I31">
        <v>0.624</v>
      </c>
    </row>
    <row r="35" spans="1:9">
      <c r="A35" s="16" t="s">
        <v>20</v>
      </c>
      <c r="B35" s="16"/>
      <c r="C35" s="16"/>
      <c r="D35" s="16"/>
      <c r="E35" s="16"/>
      <c r="F35" s="16"/>
      <c r="G35" s="16"/>
    </row>
    <row r="36" spans="1:9">
      <c r="A36" s="18" t="s">
        <v>16</v>
      </c>
      <c r="B36" s="19"/>
      <c r="C36" s="19"/>
      <c r="D36" s="19"/>
      <c r="E36" s="19"/>
      <c r="F36" s="19"/>
      <c r="G36" s="20"/>
    </row>
    <row r="37" spans="1:9" ht="60">
      <c r="A37" s="7"/>
      <c r="B37" s="1" t="s">
        <v>6</v>
      </c>
      <c r="C37" s="6" t="s">
        <v>7</v>
      </c>
      <c r="D37" s="1" t="s">
        <v>8</v>
      </c>
      <c r="E37" s="6" t="s">
        <v>9</v>
      </c>
      <c r="F37" s="1" t="s">
        <v>1</v>
      </c>
      <c r="G37" s="1" t="s">
        <v>0</v>
      </c>
      <c r="H37" s="2" t="s">
        <v>23</v>
      </c>
      <c r="I37" s="10" t="s">
        <v>24</v>
      </c>
    </row>
    <row r="38" spans="1:9">
      <c r="A38" s="1" t="s">
        <v>10</v>
      </c>
      <c r="B38">
        <v>2.16</v>
      </c>
      <c r="C38">
        <v>2.2639999999999998</v>
      </c>
      <c r="D38">
        <v>1.232</v>
      </c>
      <c r="E38">
        <v>1.147</v>
      </c>
      <c r="F38">
        <v>0.56299999999999994</v>
      </c>
      <c r="G38">
        <v>0.68200000000000005</v>
      </c>
      <c r="H38">
        <v>0.65100000000000002</v>
      </c>
      <c r="I38">
        <v>0.65800000000000003</v>
      </c>
    </row>
    <row r="39" spans="1:9">
      <c r="A39" s="1" t="s">
        <v>11</v>
      </c>
      <c r="B39">
        <v>2.5939999999999999</v>
      </c>
      <c r="C39">
        <v>2.1619999999999999</v>
      </c>
      <c r="D39">
        <v>1.7889999999999999</v>
      </c>
      <c r="E39">
        <v>1.3360000000000001</v>
      </c>
      <c r="F39">
        <v>0.628</v>
      </c>
      <c r="G39">
        <v>1.018</v>
      </c>
      <c r="H39">
        <v>0.746</v>
      </c>
      <c r="I39">
        <v>0.67400000000000004</v>
      </c>
    </row>
    <row r="40" spans="1:9">
      <c r="A40" s="1" t="s">
        <v>12</v>
      </c>
      <c r="B40">
        <v>2.7229999999999999</v>
      </c>
      <c r="C40">
        <v>2.0939999999999999</v>
      </c>
      <c r="D40">
        <v>1.5680000000000001</v>
      </c>
      <c r="E40">
        <v>1.1970000000000001</v>
      </c>
      <c r="F40">
        <v>0.91100000000000003</v>
      </c>
      <c r="G40">
        <v>1.0329999999999999</v>
      </c>
      <c r="H40">
        <v>0.83599999999999997</v>
      </c>
      <c r="I40">
        <v>0.72199999999999998</v>
      </c>
    </row>
    <row r="41" spans="1:9">
      <c r="A41" s="1" t="s">
        <v>13</v>
      </c>
      <c r="B41">
        <v>2.58</v>
      </c>
      <c r="C41">
        <v>2.3610000000000002</v>
      </c>
      <c r="D41">
        <v>1.609</v>
      </c>
      <c r="E41">
        <v>0.98299999999999998</v>
      </c>
      <c r="F41">
        <v>0.91300000000000003</v>
      </c>
      <c r="G41">
        <v>1.022</v>
      </c>
      <c r="H41">
        <v>0.77400000000000002</v>
      </c>
      <c r="I41">
        <v>0.71499999999999997</v>
      </c>
    </row>
    <row r="42" spans="1:9">
      <c r="A42" s="1" t="s">
        <v>14</v>
      </c>
      <c r="B42">
        <v>2.2559999999999998</v>
      </c>
      <c r="C42">
        <v>2.4329999999999998</v>
      </c>
      <c r="D42">
        <v>1.518</v>
      </c>
      <c r="E42">
        <v>1.238</v>
      </c>
      <c r="F42">
        <v>0.80600000000000005</v>
      </c>
      <c r="G42">
        <v>1.044</v>
      </c>
      <c r="H42">
        <v>0.873</v>
      </c>
      <c r="I42">
        <v>0.73899999999999999</v>
      </c>
    </row>
    <row r="47" spans="1:9">
      <c r="A47" s="16" t="s">
        <v>21</v>
      </c>
      <c r="B47" s="16"/>
      <c r="C47" s="16"/>
      <c r="D47" s="16"/>
      <c r="E47" s="16"/>
      <c r="F47" s="16"/>
      <c r="G47" s="16"/>
    </row>
    <row r="48" spans="1:9">
      <c r="A48" s="18" t="s">
        <v>16</v>
      </c>
      <c r="B48" s="19"/>
      <c r="C48" s="19"/>
      <c r="D48" s="19"/>
      <c r="E48" s="19"/>
      <c r="F48" s="19"/>
      <c r="G48" s="20"/>
    </row>
    <row r="49" spans="1:9" ht="60">
      <c r="A49" s="7"/>
      <c r="B49" s="1" t="s">
        <v>6</v>
      </c>
      <c r="C49" s="6" t="s">
        <v>7</v>
      </c>
      <c r="D49" s="1" t="s">
        <v>8</v>
      </c>
      <c r="E49" s="6" t="s">
        <v>9</v>
      </c>
      <c r="F49" s="1" t="s">
        <v>1</v>
      </c>
      <c r="G49" s="1" t="s">
        <v>0</v>
      </c>
      <c r="H49" s="2" t="s">
        <v>23</v>
      </c>
      <c r="I49" s="10" t="s">
        <v>24</v>
      </c>
    </row>
    <row r="50" spans="1:9">
      <c r="A50" s="1" t="s">
        <v>10</v>
      </c>
      <c r="B50">
        <v>2.1459999999999999</v>
      </c>
      <c r="C50">
        <v>1.9650000000000001</v>
      </c>
      <c r="D50">
        <v>1.58</v>
      </c>
      <c r="E50">
        <v>0.94799999999999995</v>
      </c>
      <c r="F50">
        <v>0.58199999999999996</v>
      </c>
      <c r="G50">
        <v>0.71499999999999997</v>
      </c>
      <c r="H50">
        <v>0.61399999999999999</v>
      </c>
      <c r="I50">
        <v>0.62</v>
      </c>
    </row>
    <row r="51" spans="1:9">
      <c r="A51" s="1" t="s">
        <v>11</v>
      </c>
      <c r="B51">
        <v>2.101</v>
      </c>
      <c r="C51">
        <v>2.1589999999999998</v>
      </c>
      <c r="D51">
        <v>1.6859999999999999</v>
      </c>
      <c r="E51">
        <v>0.93400000000000005</v>
      </c>
      <c r="F51">
        <v>0.60799999999999998</v>
      </c>
      <c r="G51">
        <v>0.89600000000000002</v>
      </c>
      <c r="H51">
        <v>0.97199999999999998</v>
      </c>
      <c r="I51">
        <v>0.74299999999999999</v>
      </c>
    </row>
    <row r="52" spans="1:9">
      <c r="A52" s="1" t="s">
        <v>12</v>
      </c>
      <c r="B52">
        <v>2.0249999999999999</v>
      </c>
      <c r="C52">
        <v>2.0950000000000002</v>
      </c>
      <c r="D52">
        <v>1.633</v>
      </c>
      <c r="E52">
        <v>1.3680000000000001</v>
      </c>
      <c r="F52">
        <v>0.68700000000000006</v>
      </c>
      <c r="G52">
        <v>0.80700000000000005</v>
      </c>
      <c r="H52">
        <v>0.84199999999999997</v>
      </c>
      <c r="I52">
        <v>0.82699999999999996</v>
      </c>
    </row>
    <row r="53" spans="1:9">
      <c r="A53" s="1" t="s">
        <v>13</v>
      </c>
      <c r="B53">
        <v>2.11</v>
      </c>
      <c r="C53">
        <v>2.1669999999999998</v>
      </c>
      <c r="D53">
        <v>1.571</v>
      </c>
      <c r="E53">
        <v>1.1419999999999999</v>
      </c>
      <c r="F53">
        <v>0.68600000000000005</v>
      </c>
      <c r="G53">
        <v>0.753</v>
      </c>
      <c r="H53">
        <v>0.77900000000000003</v>
      </c>
      <c r="I53">
        <v>0.88100000000000001</v>
      </c>
    </row>
    <row r="54" spans="1:9">
      <c r="A54" s="1" t="s">
        <v>14</v>
      </c>
      <c r="B54">
        <v>2.3439999999999999</v>
      </c>
      <c r="C54">
        <v>2.7170000000000001</v>
      </c>
      <c r="D54">
        <v>1.649</v>
      </c>
      <c r="E54">
        <v>1.1000000000000001</v>
      </c>
      <c r="F54">
        <v>0.79800000000000004</v>
      </c>
      <c r="G54">
        <v>0.83499999999999996</v>
      </c>
      <c r="H54">
        <v>0.64800000000000002</v>
      </c>
      <c r="I54">
        <v>0.86199999999999999</v>
      </c>
    </row>
    <row r="59" spans="1:9">
      <c r="A59" s="17" t="s">
        <v>22</v>
      </c>
      <c r="B59" s="17"/>
      <c r="C59" s="17"/>
      <c r="D59" s="17"/>
      <c r="E59" s="17"/>
      <c r="F59" s="17"/>
      <c r="G59" s="17"/>
    </row>
    <row r="60" spans="1:9" ht="60">
      <c r="A60" s="5"/>
      <c r="B60" s="1" t="s">
        <v>6</v>
      </c>
      <c r="C60" s="6" t="s">
        <v>7</v>
      </c>
      <c r="D60" s="1" t="s">
        <v>8</v>
      </c>
      <c r="E60" s="6" t="s">
        <v>9</v>
      </c>
      <c r="F60" s="1" t="s">
        <v>1</v>
      </c>
      <c r="G60" s="1" t="s">
        <v>0</v>
      </c>
      <c r="H60" s="2" t="s">
        <v>27</v>
      </c>
      <c r="I60" s="10" t="s">
        <v>26</v>
      </c>
    </row>
    <row r="61" spans="1:9">
      <c r="A61" s="2">
        <v>0.7</v>
      </c>
      <c r="B61">
        <f t="shared" ref="B61:G61" si="0">AVERAGE(B4:B8)</f>
        <v>2.5342000000000002</v>
      </c>
      <c r="C61">
        <f t="shared" si="0"/>
        <v>2.6914000000000002</v>
      </c>
      <c r="D61">
        <f t="shared" si="0"/>
        <v>0.55779999999999996</v>
      </c>
      <c r="E61">
        <f t="shared" si="0"/>
        <v>0.2492</v>
      </c>
      <c r="F61">
        <f t="shared" si="0"/>
        <v>0.72819999999999996</v>
      </c>
      <c r="G61">
        <f t="shared" si="0"/>
        <v>1.0054000000000003</v>
      </c>
      <c r="H61">
        <f>AVERAGE(H4:H8)</f>
        <v>0.69220000000000004</v>
      </c>
      <c r="I61">
        <f>AVERAGE(I4:I8)</f>
        <v>0.65659999999999996</v>
      </c>
    </row>
    <row r="62" spans="1:9">
      <c r="A62" s="3">
        <v>0.3</v>
      </c>
      <c r="B62">
        <f t="shared" ref="B62:G62" si="1">AVERAGE(B16:B20)</f>
        <v>2.4666000000000001</v>
      </c>
      <c r="C62">
        <f t="shared" si="1"/>
        <v>2.5458000000000003</v>
      </c>
      <c r="D62">
        <f t="shared" si="1"/>
        <v>0.4556</v>
      </c>
      <c r="E62">
        <f t="shared" si="1"/>
        <v>0.2752</v>
      </c>
      <c r="F62">
        <f t="shared" si="1"/>
        <v>0.66220000000000001</v>
      </c>
      <c r="G62">
        <f t="shared" si="1"/>
        <v>1.2742</v>
      </c>
      <c r="H62">
        <f>AVERAGE(H16:H20)</f>
        <v>0.70419999999999994</v>
      </c>
      <c r="I62">
        <f>AVERAGE(I16:I20)</f>
        <v>0.6402000000000001</v>
      </c>
    </row>
    <row r="63" spans="1:9">
      <c r="A63" s="3">
        <v>0</v>
      </c>
      <c r="B63">
        <f t="shared" ref="B63:G63" si="2">AVERAGE(B27:B31)</f>
        <v>2.5009999999999999</v>
      </c>
      <c r="C63">
        <f t="shared" si="2"/>
        <v>2.2432000000000003</v>
      </c>
      <c r="D63">
        <f t="shared" si="2"/>
        <v>0.42199999999999999</v>
      </c>
      <c r="E63">
        <f t="shared" si="2"/>
        <v>0.25</v>
      </c>
      <c r="F63">
        <f t="shared" si="2"/>
        <v>0.61419999999999997</v>
      </c>
      <c r="G63">
        <f t="shared" si="2"/>
        <v>0.84139999999999993</v>
      </c>
      <c r="H63">
        <f>AVERAGE(H27:H31)</f>
        <v>0.67860000000000009</v>
      </c>
      <c r="I63">
        <f>AVERAGE(I27:I31)</f>
        <v>0.61980000000000002</v>
      </c>
    </row>
    <row r="64" spans="1:9">
      <c r="A64" s="3">
        <v>-0.3</v>
      </c>
      <c r="B64">
        <f t="shared" ref="B64:G64" si="3">AVERAGE(B38:B42)</f>
        <v>2.4625999999999997</v>
      </c>
      <c r="C64">
        <f t="shared" si="3"/>
        <v>2.2627999999999999</v>
      </c>
      <c r="D64">
        <f t="shared" si="3"/>
        <v>1.5432000000000001</v>
      </c>
      <c r="E64">
        <f t="shared" si="3"/>
        <v>1.1801999999999999</v>
      </c>
      <c r="F64">
        <f t="shared" si="3"/>
        <v>0.76419999999999999</v>
      </c>
      <c r="G64">
        <f t="shared" si="3"/>
        <v>0.95979999999999988</v>
      </c>
      <c r="H64">
        <f>AVERAGE(H38:H42)</f>
        <v>0.77600000000000002</v>
      </c>
      <c r="I64">
        <f>AVERAGE(I38:I42)</f>
        <v>0.7016</v>
      </c>
    </row>
    <row r="65" spans="1:9">
      <c r="A65" s="3">
        <v>-0.7</v>
      </c>
      <c r="B65">
        <f t="shared" ref="B65:G65" si="4">AVERAGE(B50:B54)</f>
        <v>2.1452</v>
      </c>
      <c r="C65">
        <f t="shared" si="4"/>
        <v>2.2206000000000001</v>
      </c>
      <c r="D65">
        <f t="shared" si="4"/>
        <v>1.6237999999999999</v>
      </c>
      <c r="E65">
        <f t="shared" si="4"/>
        <v>1.0983999999999998</v>
      </c>
      <c r="F65">
        <f t="shared" si="4"/>
        <v>0.67220000000000002</v>
      </c>
      <c r="G65">
        <f t="shared" si="4"/>
        <v>0.80120000000000002</v>
      </c>
      <c r="H65">
        <f>AVERAGE(H50:H54)</f>
        <v>0.77100000000000002</v>
      </c>
      <c r="I65">
        <f>AVERAGE(I50:I54)</f>
        <v>0.78659999999999997</v>
      </c>
    </row>
  </sheetData>
  <mergeCells count="11">
    <mergeCell ref="A59:G59"/>
    <mergeCell ref="A35:G35"/>
    <mergeCell ref="A36:G36"/>
    <mergeCell ref="A47:G47"/>
    <mergeCell ref="A48:G48"/>
    <mergeCell ref="A25:G25"/>
    <mergeCell ref="A1:G1"/>
    <mergeCell ref="A2:G2"/>
    <mergeCell ref="A13:G13"/>
    <mergeCell ref="A14:G14"/>
    <mergeCell ref="A24:G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6"/>
  <sheetViews>
    <sheetView topLeftCell="A97" zoomScale="85" zoomScaleNormal="85" workbookViewId="0">
      <selection activeCell="E112" sqref="E112"/>
    </sheetView>
  </sheetViews>
  <sheetFormatPr defaultRowHeight="15"/>
  <cols>
    <col min="1" max="1" width="13.5703125" bestFit="1" customWidth="1"/>
    <col min="2" max="2" width="15.85546875" bestFit="1" customWidth="1"/>
    <col min="3" max="3" width="24" bestFit="1" customWidth="1"/>
    <col min="4" max="4" width="38.28515625" bestFit="1" customWidth="1"/>
    <col min="5" max="6" width="23.28515625" bestFit="1" customWidth="1"/>
    <col min="8" max="8" width="21.85546875" bestFit="1" customWidth="1"/>
    <col min="9" max="9" width="23.28515625" bestFit="1" customWidth="1"/>
  </cols>
  <sheetData>
    <row r="1" spans="1:9">
      <c r="A1" s="16" t="s">
        <v>15</v>
      </c>
      <c r="B1" s="16"/>
      <c r="C1" s="16"/>
      <c r="D1" s="16"/>
      <c r="E1" s="16"/>
      <c r="F1" s="16"/>
      <c r="G1" s="16"/>
    </row>
    <row r="2" spans="1:9">
      <c r="A2" s="15" t="s">
        <v>17</v>
      </c>
      <c r="B2" s="15"/>
      <c r="C2" s="15"/>
      <c r="D2" s="15"/>
      <c r="E2" s="15"/>
      <c r="F2" s="15"/>
      <c r="G2" s="15"/>
    </row>
    <row r="3" spans="1:9" ht="45">
      <c r="A3" s="5"/>
      <c r="B3" s="1" t="s">
        <v>6</v>
      </c>
      <c r="C3" s="6" t="s">
        <v>7</v>
      </c>
      <c r="D3" s="1" t="s">
        <v>8</v>
      </c>
      <c r="E3" s="6" t="s">
        <v>9</v>
      </c>
      <c r="F3" s="1" t="s">
        <v>1</v>
      </c>
      <c r="G3" s="1" t="s">
        <v>0</v>
      </c>
      <c r="H3" s="2" t="s">
        <v>23</v>
      </c>
      <c r="I3" s="10" t="s">
        <v>24</v>
      </c>
    </row>
    <row r="4" spans="1:9">
      <c r="A4" s="1" t="s">
        <v>10</v>
      </c>
      <c r="B4">
        <v>0</v>
      </c>
      <c r="C4">
        <v>0</v>
      </c>
      <c r="D4">
        <v>0</v>
      </c>
      <c r="F4">
        <v>0.49</v>
      </c>
      <c r="G4">
        <v>0.46700000000000003</v>
      </c>
      <c r="H4">
        <v>1.7650000000000001E-3</v>
      </c>
      <c r="I4">
        <v>2.1180000000000001E-2</v>
      </c>
    </row>
    <row r="5" spans="1:9">
      <c r="A5" s="1" t="s">
        <v>11</v>
      </c>
      <c r="B5">
        <v>0</v>
      </c>
      <c r="C5">
        <v>0</v>
      </c>
      <c r="F5">
        <v>0.496</v>
      </c>
      <c r="G5">
        <v>0.49199999999999999</v>
      </c>
      <c r="H5">
        <v>1.7650000000000001E-3</v>
      </c>
      <c r="I5">
        <v>0.65900000000000003</v>
      </c>
    </row>
    <row r="6" spans="1:9">
      <c r="A6" s="1" t="s">
        <v>12</v>
      </c>
      <c r="B6">
        <v>0</v>
      </c>
      <c r="C6">
        <v>0</v>
      </c>
      <c r="F6">
        <v>0.49199999999999999</v>
      </c>
      <c r="G6">
        <v>0.46200000000000002</v>
      </c>
      <c r="H6">
        <v>1.7650000000000001E-3</v>
      </c>
      <c r="I6">
        <v>5.1189999999999999E-2</v>
      </c>
    </row>
    <row r="7" spans="1:9">
      <c r="A7" s="1" t="s">
        <v>13</v>
      </c>
      <c r="B7">
        <v>0</v>
      </c>
      <c r="C7">
        <v>0</v>
      </c>
      <c r="F7">
        <v>0.48499999999999999</v>
      </c>
      <c r="G7">
        <v>0.497</v>
      </c>
      <c r="H7">
        <v>1.7650000000000001E-3</v>
      </c>
      <c r="I7">
        <v>1.7649999999999999E-2</v>
      </c>
    </row>
    <row r="8" spans="1:9">
      <c r="A8" s="1" t="s">
        <v>14</v>
      </c>
      <c r="B8">
        <v>0</v>
      </c>
      <c r="C8">
        <v>0</v>
      </c>
      <c r="F8">
        <v>0.496</v>
      </c>
      <c r="G8">
        <v>0.496</v>
      </c>
      <c r="H8">
        <v>1.7650000000000001E-3</v>
      </c>
      <c r="I8">
        <v>2.1180000000000001E-2</v>
      </c>
    </row>
    <row r="10" spans="1:9">
      <c r="A10" s="21" t="s">
        <v>3</v>
      </c>
      <c r="B10" s="21"/>
      <c r="C10" s="21"/>
    </row>
    <row r="11" spans="1:9">
      <c r="B11" s="1" t="s">
        <v>0</v>
      </c>
      <c r="C11" s="1" t="s">
        <v>1</v>
      </c>
      <c r="D11" s="2" t="s">
        <v>23</v>
      </c>
      <c r="E11" s="10" t="s">
        <v>24</v>
      </c>
    </row>
    <row r="12" spans="1:9">
      <c r="A12" s="1" t="s">
        <v>10</v>
      </c>
      <c r="B12" s="4">
        <v>0.66749999999999998</v>
      </c>
      <c r="C12" s="4">
        <v>0.69023999999999996</v>
      </c>
      <c r="D12" s="4">
        <v>7.3400000000000002E-3</v>
      </c>
      <c r="E12" s="4">
        <v>2.4830000000000001E-2</v>
      </c>
    </row>
    <row r="13" spans="1:9">
      <c r="A13" s="1" t="s">
        <v>11</v>
      </c>
      <c r="B13" s="4">
        <v>0.69328000000000001</v>
      </c>
      <c r="C13" s="4">
        <v>0.69642000000000004</v>
      </c>
      <c r="D13" s="4">
        <v>3.7664E-3</v>
      </c>
      <c r="E13" s="4">
        <v>1.7607000000000001E-2</v>
      </c>
    </row>
    <row r="14" spans="1:9">
      <c r="A14" s="1" t="s">
        <v>12</v>
      </c>
      <c r="B14" s="4">
        <v>0.66269</v>
      </c>
      <c r="C14" s="4">
        <v>0.69401999999999997</v>
      </c>
      <c r="D14" s="4">
        <v>5.5700000000000003E-3</v>
      </c>
      <c r="E14" s="4">
        <v>8.9149999999999993E-2</v>
      </c>
    </row>
    <row r="15" spans="1:9">
      <c r="A15" s="1" t="s">
        <v>13</v>
      </c>
      <c r="B15" s="4">
        <v>0.70011000000000001</v>
      </c>
      <c r="C15" s="4">
        <v>0.6825</v>
      </c>
      <c r="D15" s="4">
        <v>5.5712000000000001E-3</v>
      </c>
      <c r="E15" s="4">
        <v>2.0556000000000001E-2</v>
      </c>
    </row>
    <row r="16" spans="1:9">
      <c r="A16" s="1" t="s">
        <v>14</v>
      </c>
      <c r="B16" s="4">
        <v>0.70289000000000001</v>
      </c>
      <c r="C16" s="4">
        <v>0.69769000000000003</v>
      </c>
      <c r="D16" s="4">
        <v>4.3198999999999998E-3</v>
      </c>
      <c r="E16" s="4">
        <v>1.9737000000000001E-2</v>
      </c>
    </row>
    <row r="21" spans="1:9">
      <c r="A21" s="16" t="s">
        <v>18</v>
      </c>
      <c r="B21" s="16"/>
      <c r="C21" s="16"/>
      <c r="D21" s="16"/>
      <c r="E21" s="16"/>
      <c r="F21" s="16"/>
      <c r="G21" s="16"/>
    </row>
    <row r="22" spans="1:9">
      <c r="A22" s="15" t="s">
        <v>17</v>
      </c>
      <c r="B22" s="15"/>
      <c r="C22" s="15"/>
      <c r="D22" s="15"/>
      <c r="E22" s="15"/>
      <c r="F22" s="15"/>
      <c r="G22" s="15"/>
    </row>
    <row r="23" spans="1:9" ht="45">
      <c r="A23" s="5"/>
      <c r="B23" s="1" t="s">
        <v>6</v>
      </c>
      <c r="C23" s="6" t="s">
        <v>7</v>
      </c>
      <c r="D23" s="1" t="s">
        <v>8</v>
      </c>
      <c r="E23" s="6" t="s">
        <v>9</v>
      </c>
      <c r="F23" s="1" t="s">
        <v>1</v>
      </c>
      <c r="G23" s="1" t="s">
        <v>0</v>
      </c>
      <c r="H23" s="2" t="s">
        <v>23</v>
      </c>
      <c r="I23" s="10" t="s">
        <v>24</v>
      </c>
    </row>
    <row r="24" spans="1:9">
      <c r="A24" s="1" t="s">
        <v>10</v>
      </c>
      <c r="B24">
        <v>0</v>
      </c>
      <c r="C24">
        <v>0</v>
      </c>
      <c r="F24">
        <v>0.25900000000000001</v>
      </c>
      <c r="G24">
        <v>0.25900000000000001</v>
      </c>
      <c r="H24">
        <v>0</v>
      </c>
      <c r="I24">
        <v>4.5010000000000001E-2</v>
      </c>
    </row>
    <row r="25" spans="1:9">
      <c r="A25" s="1" t="s">
        <v>11</v>
      </c>
      <c r="B25">
        <v>0</v>
      </c>
      <c r="C25">
        <v>0</v>
      </c>
      <c r="F25">
        <v>0.26400000000000001</v>
      </c>
      <c r="G25">
        <v>0.27800000000000002</v>
      </c>
      <c r="H25">
        <v>0</v>
      </c>
      <c r="I25">
        <v>2.0299999999999999E-2</v>
      </c>
    </row>
    <row r="26" spans="1:9">
      <c r="A26" s="1" t="s">
        <v>12</v>
      </c>
      <c r="B26">
        <v>0</v>
      </c>
      <c r="C26">
        <v>0</v>
      </c>
      <c r="F26">
        <v>0.26300000000000001</v>
      </c>
      <c r="G26">
        <v>0.26100000000000001</v>
      </c>
      <c r="H26">
        <v>0</v>
      </c>
      <c r="I26">
        <v>4.1399999999999999E-2</v>
      </c>
    </row>
    <row r="27" spans="1:9">
      <c r="A27" s="1" t="s">
        <v>13</v>
      </c>
      <c r="B27">
        <v>0</v>
      </c>
      <c r="C27">
        <v>0</v>
      </c>
      <c r="F27">
        <v>0.26100000000000001</v>
      </c>
      <c r="G27">
        <v>0.27300000000000002</v>
      </c>
      <c r="H27">
        <v>0</v>
      </c>
      <c r="I27">
        <v>2.912E-2</v>
      </c>
    </row>
    <row r="28" spans="1:9">
      <c r="A28" s="1" t="s">
        <v>14</v>
      </c>
      <c r="B28">
        <v>0</v>
      </c>
      <c r="C28">
        <v>0</v>
      </c>
      <c r="F28">
        <v>0.255</v>
      </c>
      <c r="G28">
        <v>0.24099999999999999</v>
      </c>
      <c r="H28">
        <v>0</v>
      </c>
      <c r="I28">
        <v>5.3800000000000001E-2</v>
      </c>
    </row>
    <row r="30" spans="1:9">
      <c r="A30" s="21" t="s">
        <v>3</v>
      </c>
      <c r="B30" s="21"/>
      <c r="C30" s="21"/>
    </row>
    <row r="31" spans="1:9">
      <c r="B31" s="1" t="s">
        <v>0</v>
      </c>
      <c r="C31" s="1" t="s">
        <v>1</v>
      </c>
      <c r="D31" s="2" t="s">
        <v>23</v>
      </c>
      <c r="E31" s="10" t="s">
        <v>24</v>
      </c>
    </row>
    <row r="32" spans="1:9">
      <c r="A32" s="1" t="s">
        <v>10</v>
      </c>
      <c r="B32" s="4">
        <v>0.28403</v>
      </c>
      <c r="C32" s="4">
        <v>0.28029999999999999</v>
      </c>
      <c r="D32">
        <v>0</v>
      </c>
      <c r="E32" s="14">
        <v>4.7923E-2</v>
      </c>
    </row>
    <row r="33" spans="1:9">
      <c r="A33" s="1" t="s">
        <v>11</v>
      </c>
      <c r="B33" s="4">
        <v>0.30599999999999999</v>
      </c>
      <c r="C33" s="4">
        <v>0.28839999999999999</v>
      </c>
      <c r="D33">
        <v>0</v>
      </c>
      <c r="E33" s="4">
        <v>2.2353000000000001E-2</v>
      </c>
    </row>
    <row r="34" spans="1:9">
      <c r="A34" s="1" t="s">
        <v>12</v>
      </c>
      <c r="B34" s="4">
        <v>0.28549999999999998</v>
      </c>
      <c r="C34" s="4">
        <v>0.2868</v>
      </c>
      <c r="D34">
        <v>0</v>
      </c>
      <c r="E34" s="4">
        <v>4.50003E-2</v>
      </c>
    </row>
    <row r="35" spans="1:9">
      <c r="A35" s="1" t="s">
        <v>13</v>
      </c>
      <c r="B35" s="4">
        <v>0.29699999999999999</v>
      </c>
      <c r="C35" s="4">
        <v>0.28460000000000002</v>
      </c>
      <c r="D35">
        <v>0</v>
      </c>
      <c r="E35" s="4">
        <v>3.1890000000000002E-2</v>
      </c>
    </row>
    <row r="36" spans="1:9">
      <c r="A36" s="1" t="s">
        <v>14</v>
      </c>
      <c r="B36" s="4">
        <v>0.26713999999999999</v>
      </c>
      <c r="C36" s="4">
        <v>0.2792</v>
      </c>
      <c r="D36">
        <v>0</v>
      </c>
      <c r="E36" s="4">
        <v>5.7084999999999997E-2</v>
      </c>
    </row>
    <row r="40" spans="1:9">
      <c r="A40" s="16" t="s">
        <v>19</v>
      </c>
      <c r="B40" s="16"/>
      <c r="C40" s="16"/>
      <c r="D40" s="16"/>
      <c r="E40" s="16"/>
      <c r="F40" s="16"/>
      <c r="G40" s="16"/>
    </row>
    <row r="41" spans="1:9">
      <c r="A41" s="15" t="s">
        <v>17</v>
      </c>
      <c r="B41" s="15"/>
      <c r="C41" s="15"/>
      <c r="D41" s="15"/>
      <c r="E41" s="15"/>
      <c r="F41" s="15"/>
      <c r="G41" s="15"/>
    </row>
    <row r="42" spans="1:9" ht="45">
      <c r="A42" s="5"/>
      <c r="B42" s="1" t="s">
        <v>6</v>
      </c>
      <c r="C42" s="6" t="s">
        <v>7</v>
      </c>
      <c r="D42" s="1" t="s">
        <v>8</v>
      </c>
      <c r="E42" s="6" t="s">
        <v>9</v>
      </c>
      <c r="F42" s="1" t="s">
        <v>1</v>
      </c>
      <c r="G42" s="1" t="s">
        <v>0</v>
      </c>
      <c r="H42" s="2" t="s">
        <v>23</v>
      </c>
      <c r="I42" s="10" t="s">
        <v>24</v>
      </c>
    </row>
    <row r="43" spans="1:9">
      <c r="A43" s="1" t="s">
        <v>10</v>
      </c>
      <c r="B43">
        <v>0</v>
      </c>
      <c r="C43">
        <v>0</v>
      </c>
      <c r="F43">
        <v>1.0500000000000001E-2</v>
      </c>
      <c r="G43">
        <v>1.5800000000000002E-2</v>
      </c>
      <c r="H43">
        <v>0</v>
      </c>
      <c r="I43">
        <v>2.647E-2</v>
      </c>
    </row>
    <row r="44" spans="1:9">
      <c r="A44" s="1" t="s">
        <v>11</v>
      </c>
      <c r="B44">
        <v>0</v>
      </c>
      <c r="C44">
        <v>0</v>
      </c>
      <c r="F44">
        <v>7.0000000000000001E-3</v>
      </c>
      <c r="G44">
        <v>2.64E-2</v>
      </c>
      <c r="H44">
        <v>0</v>
      </c>
      <c r="I44">
        <v>2.8199999999999999E-2</v>
      </c>
    </row>
    <row r="45" spans="1:9">
      <c r="A45" s="1" t="s">
        <v>12</v>
      </c>
      <c r="B45">
        <v>0</v>
      </c>
      <c r="C45">
        <v>0</v>
      </c>
      <c r="F45">
        <v>1.4999999999999999E-2</v>
      </c>
      <c r="G45">
        <v>3.3500000000000002E-2</v>
      </c>
      <c r="H45">
        <v>0</v>
      </c>
      <c r="I45">
        <v>1.41E-2</v>
      </c>
    </row>
    <row r="46" spans="1:9">
      <c r="A46" s="1" t="s">
        <v>13</v>
      </c>
      <c r="B46">
        <v>0</v>
      </c>
      <c r="C46">
        <v>0</v>
      </c>
      <c r="F46">
        <v>8.0000000000000002E-3</v>
      </c>
      <c r="G46">
        <v>3.3000000000000002E-2</v>
      </c>
      <c r="H46">
        <v>0</v>
      </c>
      <c r="I46">
        <v>1.7649999999999999E-2</v>
      </c>
    </row>
    <row r="47" spans="1:9">
      <c r="A47" s="1" t="s">
        <v>14</v>
      </c>
      <c r="B47">
        <v>0</v>
      </c>
      <c r="C47">
        <v>0</v>
      </c>
      <c r="F47">
        <v>8.0000000000000002E-3</v>
      </c>
      <c r="G47">
        <v>3.1699999999999999E-2</v>
      </c>
      <c r="H47">
        <v>0</v>
      </c>
      <c r="I47">
        <v>2.1180000000000001E-2</v>
      </c>
    </row>
    <row r="49" spans="1:9">
      <c r="A49" s="21" t="s">
        <v>3</v>
      </c>
      <c r="B49" s="21"/>
      <c r="C49" s="21"/>
    </row>
    <row r="50" spans="1:9">
      <c r="B50" s="1" t="s">
        <v>0</v>
      </c>
      <c r="C50" s="1" t="s">
        <v>1</v>
      </c>
      <c r="D50" s="2" t="s">
        <v>23</v>
      </c>
      <c r="E50" s="10" t="s">
        <v>24</v>
      </c>
    </row>
    <row r="51" spans="1:9">
      <c r="A51" s="1" t="s">
        <v>10</v>
      </c>
      <c r="B51" s="4">
        <v>1.5879000000000001E-2</v>
      </c>
      <c r="C51" s="4">
        <v>1.059E-2</v>
      </c>
      <c r="D51">
        <v>0</v>
      </c>
      <c r="E51" s="4">
        <v>2.648E-2</v>
      </c>
    </row>
    <row r="52" spans="1:9">
      <c r="A52" s="1" t="s">
        <v>11</v>
      </c>
      <c r="B52" s="4">
        <v>2.647E-2</v>
      </c>
      <c r="C52" s="4">
        <v>7.0600000000000003E-3</v>
      </c>
      <c r="D52">
        <v>0</v>
      </c>
      <c r="E52" s="4">
        <v>2.8240000000000001E-2</v>
      </c>
    </row>
    <row r="53" spans="1:9">
      <c r="A53" s="1" t="s">
        <v>12</v>
      </c>
      <c r="B53" s="4">
        <v>3.354E-2</v>
      </c>
      <c r="C53" s="4">
        <v>1.5890000000000001E-2</v>
      </c>
      <c r="D53">
        <v>0</v>
      </c>
      <c r="E53" s="4">
        <v>1.4120000000000001E-2</v>
      </c>
    </row>
    <row r="54" spans="1:9">
      <c r="A54" s="1" t="s">
        <v>13</v>
      </c>
      <c r="B54" s="4">
        <v>3.354E-2</v>
      </c>
      <c r="C54" s="4">
        <v>8.8299999999999993E-3</v>
      </c>
      <c r="D54">
        <v>0</v>
      </c>
      <c r="E54" s="4">
        <v>1.7649999999999999E-2</v>
      </c>
    </row>
    <row r="55" spans="1:9">
      <c r="A55" s="1" t="s">
        <v>14</v>
      </c>
      <c r="B55" s="4">
        <v>3.1780000000000003E-2</v>
      </c>
      <c r="C55" s="4">
        <v>8.8199999999999997E-3</v>
      </c>
      <c r="D55">
        <v>0</v>
      </c>
      <c r="E55" s="4">
        <v>2.1182699999999999E-2</v>
      </c>
    </row>
    <row r="59" spans="1:9">
      <c r="A59" s="16" t="s">
        <v>20</v>
      </c>
      <c r="B59" s="16"/>
      <c r="C59" s="16"/>
      <c r="D59" s="16"/>
      <c r="E59" s="16"/>
      <c r="F59" s="16"/>
      <c r="G59" s="16"/>
    </row>
    <row r="60" spans="1:9">
      <c r="A60" s="15" t="s">
        <v>17</v>
      </c>
      <c r="B60" s="15"/>
      <c r="C60" s="15"/>
      <c r="D60" s="15"/>
      <c r="E60" s="15"/>
      <c r="F60" s="15"/>
      <c r="G60" s="15"/>
    </row>
    <row r="61" spans="1:9" ht="45">
      <c r="A61" s="5"/>
      <c r="B61" s="1" t="s">
        <v>6</v>
      </c>
      <c r="C61" s="6" t="s">
        <v>7</v>
      </c>
      <c r="D61" s="1" t="s">
        <v>8</v>
      </c>
      <c r="E61" s="6" t="s">
        <v>9</v>
      </c>
      <c r="F61" s="1" t="s">
        <v>1</v>
      </c>
      <c r="G61" s="1" t="s">
        <v>0</v>
      </c>
      <c r="H61" s="2" t="s">
        <v>23</v>
      </c>
      <c r="I61" s="10" t="s">
        <v>24</v>
      </c>
    </row>
    <row r="62" spans="1:9">
      <c r="A62" s="1" t="s">
        <v>10</v>
      </c>
      <c r="B62">
        <v>0</v>
      </c>
      <c r="C62">
        <v>0</v>
      </c>
      <c r="D62">
        <v>0.14649999999999999</v>
      </c>
      <c r="E62">
        <v>0</v>
      </c>
      <c r="F62">
        <v>0.34899999999999998</v>
      </c>
      <c r="G62">
        <v>0.33889999999999998</v>
      </c>
      <c r="H62">
        <v>0</v>
      </c>
      <c r="I62">
        <v>2.2939999999999999E-2</v>
      </c>
    </row>
    <row r="63" spans="1:9">
      <c r="A63" s="1" t="s">
        <v>11</v>
      </c>
      <c r="B63">
        <v>0</v>
      </c>
      <c r="C63">
        <v>0</v>
      </c>
      <c r="D63">
        <v>0.11799999999999999</v>
      </c>
      <c r="F63">
        <v>0.33800000000000002</v>
      </c>
      <c r="G63">
        <v>0.32800000000000001</v>
      </c>
      <c r="H63">
        <v>0</v>
      </c>
      <c r="I63">
        <v>3.3529999999999997E-2</v>
      </c>
    </row>
    <row r="64" spans="1:9">
      <c r="A64" s="1" t="s">
        <v>12</v>
      </c>
      <c r="B64">
        <v>0</v>
      </c>
      <c r="C64">
        <v>0</v>
      </c>
      <c r="D64">
        <v>0.16900000000000001</v>
      </c>
      <c r="F64">
        <v>0.33800000000000002</v>
      </c>
      <c r="G64">
        <v>0.35599999999999998</v>
      </c>
      <c r="H64">
        <v>0</v>
      </c>
      <c r="I64">
        <v>3.0008E-2</v>
      </c>
    </row>
    <row r="65" spans="1:9">
      <c r="A65" s="1" t="s">
        <v>13</v>
      </c>
      <c r="B65">
        <v>0</v>
      </c>
      <c r="C65">
        <v>0</v>
      </c>
      <c r="D65">
        <v>0.185</v>
      </c>
      <c r="F65">
        <v>0.34770000000000001</v>
      </c>
      <c r="G65">
        <v>0.33800000000000002</v>
      </c>
      <c r="H65">
        <v>0</v>
      </c>
      <c r="I65">
        <v>6.3539999999999999E-2</v>
      </c>
    </row>
    <row r="66" spans="1:9">
      <c r="A66" s="1" t="s">
        <v>14</v>
      </c>
      <c r="B66">
        <v>0</v>
      </c>
      <c r="C66">
        <v>0</v>
      </c>
      <c r="D66">
        <v>0.17649999999999999</v>
      </c>
      <c r="F66">
        <v>0.34770000000000001</v>
      </c>
      <c r="G66">
        <v>0.33300000000000002</v>
      </c>
      <c r="H66">
        <v>0</v>
      </c>
      <c r="I66">
        <v>2.47E-2</v>
      </c>
    </row>
    <row r="68" spans="1:9">
      <c r="A68" s="21" t="s">
        <v>3</v>
      </c>
      <c r="B68" s="21"/>
      <c r="C68" s="21"/>
    </row>
    <row r="69" spans="1:9">
      <c r="B69" s="1" t="s">
        <v>0</v>
      </c>
      <c r="C69" s="1" t="s">
        <v>1</v>
      </c>
      <c r="D69" s="1" t="s">
        <v>8</v>
      </c>
      <c r="E69" s="2" t="s">
        <v>23</v>
      </c>
      <c r="F69" s="10" t="s">
        <v>24</v>
      </c>
    </row>
    <row r="70" spans="1:9">
      <c r="A70" s="1" t="s">
        <v>10</v>
      </c>
      <c r="B70" s="4">
        <v>0.401223</v>
      </c>
      <c r="C70" s="4">
        <v>0.40822000000000003</v>
      </c>
      <c r="D70" s="4">
        <v>0.17582999999999999</v>
      </c>
      <c r="E70" s="4">
        <v>0</v>
      </c>
      <c r="F70" s="4">
        <v>2.1153000000000002E-2</v>
      </c>
    </row>
    <row r="71" spans="1:9">
      <c r="A71" s="1" t="s">
        <v>11</v>
      </c>
      <c r="B71" s="4">
        <v>0.37924000000000002</v>
      </c>
      <c r="C71" s="4">
        <v>0.39533000000000001</v>
      </c>
      <c r="D71" s="4">
        <v>0.14113999999999999</v>
      </c>
      <c r="E71" s="4">
        <v>0</v>
      </c>
      <c r="F71" s="4">
        <v>3.5992999999999997E-2</v>
      </c>
    </row>
    <row r="72" spans="1:9">
      <c r="A72" s="1" t="s">
        <v>12</v>
      </c>
      <c r="B72" s="4">
        <v>0.41816399999999998</v>
      </c>
      <c r="C72" s="4">
        <v>0.39556999999999998</v>
      </c>
      <c r="D72" s="4">
        <v>0.20710000000000001</v>
      </c>
      <c r="E72" s="4">
        <v>0</v>
      </c>
      <c r="F72" s="4">
        <v>2.9055999999999998E-2</v>
      </c>
    </row>
    <row r="73" spans="1:9">
      <c r="A73" s="1" t="s">
        <v>13</v>
      </c>
      <c r="B73" s="4">
        <v>0.39973999999999998</v>
      </c>
      <c r="C73" s="4">
        <v>0.40504000000000001</v>
      </c>
      <c r="D73" s="4">
        <v>0.22338</v>
      </c>
      <c r="E73" s="4">
        <v>0</v>
      </c>
      <c r="F73" s="4">
        <v>8.5070000000000007E-2</v>
      </c>
    </row>
    <row r="74" spans="1:9">
      <c r="A74" s="1" t="s">
        <v>14</v>
      </c>
      <c r="B74" s="4">
        <v>0.38652999999999998</v>
      </c>
      <c r="C74" s="4">
        <v>0.40455600000000003</v>
      </c>
      <c r="D74" s="4">
        <v>0.21440000000000001</v>
      </c>
      <c r="E74" s="4">
        <v>0</v>
      </c>
      <c r="F74" s="4">
        <v>2.3570000000000001E-2</v>
      </c>
    </row>
    <row r="78" spans="1:9">
      <c r="A78" s="16" t="s">
        <v>21</v>
      </c>
      <c r="B78" s="16"/>
      <c r="C78" s="16"/>
      <c r="D78" s="16"/>
      <c r="E78" s="16"/>
      <c r="F78" s="16"/>
      <c r="G78" s="16"/>
    </row>
    <row r="79" spans="1:9">
      <c r="A79" s="15" t="s">
        <v>17</v>
      </c>
      <c r="B79" s="15"/>
      <c r="C79" s="15"/>
      <c r="D79" s="15"/>
      <c r="E79" s="15"/>
      <c r="F79" s="15"/>
      <c r="G79" s="15"/>
    </row>
    <row r="80" spans="1:9" ht="45">
      <c r="A80" s="5"/>
      <c r="B80" s="1" t="s">
        <v>6</v>
      </c>
      <c r="C80" s="6" t="s">
        <v>7</v>
      </c>
      <c r="D80" s="1" t="s">
        <v>8</v>
      </c>
      <c r="E80" s="6" t="s">
        <v>9</v>
      </c>
      <c r="F80" s="1" t="s">
        <v>1</v>
      </c>
      <c r="G80" s="1" t="s">
        <v>0</v>
      </c>
      <c r="H80" s="2" t="s">
        <v>23</v>
      </c>
      <c r="I80" s="10" t="s">
        <v>24</v>
      </c>
    </row>
    <row r="81" spans="1:9">
      <c r="A81" s="1" t="s">
        <v>10</v>
      </c>
      <c r="B81">
        <v>0</v>
      </c>
      <c r="C81">
        <v>0</v>
      </c>
      <c r="D81">
        <v>0.65600000000000003</v>
      </c>
      <c r="E81">
        <v>0</v>
      </c>
      <c r="F81">
        <v>0.9</v>
      </c>
      <c r="G81">
        <v>0.89600000000000002</v>
      </c>
      <c r="H81">
        <v>0</v>
      </c>
      <c r="I81">
        <v>1.4120000000000001E-2</v>
      </c>
    </row>
    <row r="82" spans="1:9">
      <c r="A82" s="1" t="s">
        <v>11</v>
      </c>
      <c r="B82">
        <v>0</v>
      </c>
      <c r="C82">
        <v>0</v>
      </c>
      <c r="D82">
        <v>0.63100000000000001</v>
      </c>
      <c r="E82">
        <v>0</v>
      </c>
      <c r="F82">
        <v>0.90900000000000003</v>
      </c>
      <c r="G82">
        <v>0.89600000000000002</v>
      </c>
      <c r="H82">
        <v>0</v>
      </c>
      <c r="I82">
        <v>1.235E-2</v>
      </c>
    </row>
    <row r="83" spans="1:9">
      <c r="A83" s="1" t="s">
        <v>12</v>
      </c>
      <c r="B83">
        <v>0</v>
      </c>
      <c r="C83">
        <v>0</v>
      </c>
      <c r="D83">
        <v>0.63300000000000001</v>
      </c>
      <c r="E83">
        <v>0</v>
      </c>
      <c r="F83">
        <v>0.90700000000000003</v>
      </c>
      <c r="G83">
        <v>0.89600000000000002</v>
      </c>
      <c r="H83">
        <v>0</v>
      </c>
      <c r="I83">
        <v>1.5879999999999998E-2</v>
      </c>
    </row>
    <row r="84" spans="1:9">
      <c r="A84" s="1" t="s">
        <v>13</v>
      </c>
      <c r="B84">
        <v>0</v>
      </c>
      <c r="C84">
        <v>0</v>
      </c>
      <c r="D84">
        <v>0.63300000000000001</v>
      </c>
      <c r="E84">
        <v>0</v>
      </c>
      <c r="F84">
        <v>0.89600000000000002</v>
      </c>
      <c r="G84">
        <v>0.89600000000000002</v>
      </c>
      <c r="H84">
        <v>0</v>
      </c>
      <c r="I84">
        <v>1.235E-2</v>
      </c>
    </row>
    <row r="85" spans="1:9">
      <c r="A85" s="1" t="s">
        <v>14</v>
      </c>
      <c r="B85">
        <v>0</v>
      </c>
      <c r="C85">
        <v>0</v>
      </c>
      <c r="D85">
        <v>0.67200000000000004</v>
      </c>
      <c r="E85">
        <v>0</v>
      </c>
      <c r="F85">
        <v>0.90500000000000003</v>
      </c>
      <c r="G85">
        <v>0.90200000000000002</v>
      </c>
      <c r="H85">
        <v>0</v>
      </c>
      <c r="I85">
        <v>1.4120000000000001E-2</v>
      </c>
    </row>
    <row r="87" spans="1:9">
      <c r="A87" s="21" t="s">
        <v>3</v>
      </c>
      <c r="B87" s="21"/>
      <c r="C87" s="21"/>
    </row>
    <row r="88" spans="1:9">
      <c r="B88" s="1" t="s">
        <v>0</v>
      </c>
      <c r="C88" s="1" t="s">
        <v>1</v>
      </c>
      <c r="D88" s="1" t="s">
        <v>8</v>
      </c>
      <c r="E88" s="2" t="s">
        <v>23</v>
      </c>
      <c r="F88" s="10" t="s">
        <v>24</v>
      </c>
    </row>
    <row r="89" spans="1:9">
      <c r="A89" s="1" t="s">
        <v>10</v>
      </c>
      <c r="B89" s="4">
        <v>3.8670599999999999</v>
      </c>
      <c r="C89" s="4">
        <v>3.8479199999999998</v>
      </c>
      <c r="D89" s="4">
        <v>4.0571599999999997</v>
      </c>
      <c r="E89" s="4">
        <v>0</v>
      </c>
      <c r="F89" s="4">
        <v>4.1340000000000002E-2</v>
      </c>
    </row>
    <row r="90" spans="1:9">
      <c r="A90" s="1" t="s">
        <v>11</v>
      </c>
      <c r="B90" s="4">
        <v>3.8822399999999999</v>
      </c>
      <c r="C90" s="4">
        <v>3.8984169999999998</v>
      </c>
      <c r="D90" s="4">
        <v>3.8090700000000002</v>
      </c>
      <c r="E90" s="4">
        <v>0</v>
      </c>
      <c r="F90" s="4">
        <v>5.7790000000000001E-2</v>
      </c>
    </row>
    <row r="91" spans="1:9">
      <c r="A91" s="1" t="s">
        <v>12</v>
      </c>
      <c r="B91" s="4">
        <v>3.9763700000000002</v>
      </c>
      <c r="C91" s="4">
        <v>3.8922020000000002</v>
      </c>
      <c r="D91" s="4">
        <v>3.7821400000000001</v>
      </c>
      <c r="E91" s="4">
        <v>0</v>
      </c>
      <c r="F91" s="4">
        <v>3.2772799999999998E-2</v>
      </c>
    </row>
    <row r="92" spans="1:9">
      <c r="A92" s="1" t="s">
        <v>13</v>
      </c>
      <c r="B92" s="4">
        <v>3.6770299999999998</v>
      </c>
      <c r="C92" s="4">
        <v>3.8354900000000001</v>
      </c>
      <c r="D92" s="4">
        <v>3.6975199999999999</v>
      </c>
      <c r="E92" s="4">
        <v>0</v>
      </c>
      <c r="F92" s="4">
        <v>4.4087000000000001E-2</v>
      </c>
    </row>
    <row r="93" spans="1:9">
      <c r="A93" s="1" t="s">
        <v>14</v>
      </c>
      <c r="B93" s="4">
        <v>3.7770199999999998</v>
      </c>
      <c r="C93" s="4">
        <v>3.8702030000000001</v>
      </c>
      <c r="D93" s="4">
        <v>4.0382999999999996</v>
      </c>
      <c r="E93" s="4">
        <v>0</v>
      </c>
      <c r="F93" s="4">
        <v>2.7400000000000001E-2</v>
      </c>
    </row>
    <row r="99" spans="1:7">
      <c r="A99" s="17" t="s">
        <v>22</v>
      </c>
      <c r="B99" s="17"/>
      <c r="C99" s="17"/>
      <c r="D99" s="17"/>
      <c r="E99" s="17"/>
      <c r="F99" s="17"/>
      <c r="G99" s="17"/>
    </row>
    <row r="100" spans="1:7">
      <c r="A100" s="15" t="s">
        <v>5</v>
      </c>
      <c r="B100" s="15"/>
      <c r="C100" s="15"/>
      <c r="D100" s="15"/>
      <c r="E100" s="15"/>
      <c r="F100" s="15"/>
      <c r="G100" s="15"/>
    </row>
    <row r="101" spans="1:7">
      <c r="A101" s="8"/>
      <c r="B101" s="1" t="s">
        <v>1</v>
      </c>
      <c r="C101" s="1" t="s">
        <v>0</v>
      </c>
      <c r="D101" s="2" t="s">
        <v>27</v>
      </c>
      <c r="E101" s="23" t="s">
        <v>26</v>
      </c>
    </row>
    <row r="102" spans="1:7">
      <c r="A102" s="2">
        <v>0.7</v>
      </c>
      <c r="B102" s="22">
        <f>AVERAGE(F4:F8)</f>
        <v>0.49180000000000001</v>
      </c>
      <c r="C102" s="22">
        <f>AVERAGE(G4:G8)</f>
        <v>0.48280000000000001</v>
      </c>
      <c r="D102" s="22">
        <f>AVERAGE(H4:H8)</f>
        <v>1.7649999999999999E-3</v>
      </c>
      <c r="E102">
        <f>AVERAGE(I4:I8)</f>
        <v>0.15404000000000001</v>
      </c>
    </row>
    <row r="103" spans="1:7">
      <c r="A103" s="3">
        <v>0.3</v>
      </c>
      <c r="B103" s="22">
        <f>AVERAGE(F24:F28)</f>
        <v>0.26040000000000002</v>
      </c>
      <c r="C103" s="22">
        <f>AVERAGE(G24:G28)</f>
        <v>0.26240000000000008</v>
      </c>
      <c r="D103" s="22">
        <f>AVERAGE(H24:H28)</f>
        <v>0</v>
      </c>
      <c r="E103" s="22">
        <f>AVERAGE(I24:I28)</f>
        <v>3.7926000000000001E-2</v>
      </c>
    </row>
    <row r="104" spans="1:7">
      <c r="A104" s="3">
        <v>0</v>
      </c>
      <c r="B104" s="22">
        <f>AVERAGE(F43:F47)</f>
        <v>9.7000000000000003E-3</v>
      </c>
      <c r="C104" s="22">
        <f>AVERAGE(G43:G47)</f>
        <v>2.8080000000000001E-2</v>
      </c>
      <c r="D104" s="22">
        <f>AVERAGE(H43:H47)</f>
        <v>0</v>
      </c>
      <c r="E104" s="22">
        <f>AVERAGE(I43:I47)</f>
        <v>2.1520000000000001E-2</v>
      </c>
    </row>
    <row r="105" spans="1:7">
      <c r="A105" s="3">
        <v>-0.3</v>
      </c>
      <c r="B105" s="22">
        <f>AVERAGE(F62:F66)</f>
        <v>0.34408000000000005</v>
      </c>
      <c r="C105" s="22">
        <f>AVERAGE(G62:G66)</f>
        <v>0.33877999999999997</v>
      </c>
      <c r="D105" s="22">
        <f>AVERAGE(H62:H66)</f>
        <v>0</v>
      </c>
      <c r="E105" s="22">
        <f>AVERAGE(I62:I66)</f>
        <v>3.4943599999999998E-2</v>
      </c>
    </row>
    <row r="106" spans="1:7">
      <c r="A106" s="3">
        <v>-0.7</v>
      </c>
      <c r="B106" s="22">
        <f>AVERAGE(F81:F85)</f>
        <v>0.90340000000000009</v>
      </c>
      <c r="C106" s="22">
        <f>AVERAGE(G81:G85)</f>
        <v>0.8972</v>
      </c>
      <c r="D106" s="22">
        <f>AVERAGE(H81:H85)</f>
        <v>0</v>
      </c>
      <c r="E106" s="22">
        <f>AVERAGE(I81:I85)</f>
        <v>1.3763999999999998E-2</v>
      </c>
    </row>
    <row r="107" spans="1:7">
      <c r="D107" s="22"/>
    </row>
    <row r="110" spans="1:7">
      <c r="A110" s="21" t="s">
        <v>3</v>
      </c>
      <c r="B110" s="21"/>
      <c r="C110" s="21"/>
    </row>
    <row r="111" spans="1:7">
      <c r="B111" s="1" t="s">
        <v>0</v>
      </c>
      <c r="C111" s="1" t="s">
        <v>1</v>
      </c>
      <c r="D111" s="6" t="s">
        <v>8</v>
      </c>
      <c r="E111" s="2" t="s">
        <v>27</v>
      </c>
      <c r="F111" s="10" t="s">
        <v>26</v>
      </c>
    </row>
    <row r="112" spans="1:7">
      <c r="A112" s="2">
        <v>0.7</v>
      </c>
      <c r="B112" s="4">
        <f>AVERAGE(B12:B16)</f>
        <v>0.68529400000000007</v>
      </c>
      <c r="C112" s="4">
        <f>AVERAGE(C12:C16)</f>
        <v>0.69217400000000007</v>
      </c>
      <c r="D112" s="9">
        <v>0</v>
      </c>
      <c r="E112" s="4">
        <v>0</v>
      </c>
      <c r="F112" s="4">
        <f>AVERAGE(E12:E16)</f>
        <v>3.4376000000000004E-2</v>
      </c>
    </row>
    <row r="113" spans="1:6">
      <c r="A113" s="3">
        <v>0.3</v>
      </c>
      <c r="B113" s="4">
        <f>AVERAGE(B32:B36)</f>
        <v>0.28793400000000002</v>
      </c>
      <c r="C113" s="4">
        <f>AVERAGE(C32:C36)</f>
        <v>0.28385999999999995</v>
      </c>
      <c r="D113" s="9">
        <v>0</v>
      </c>
      <c r="E113">
        <f>AVERAGE(H24:H28)</f>
        <v>0</v>
      </c>
      <c r="F113" s="4">
        <f>AVERAGE(E32:E36)</f>
        <v>4.0850259999999999E-2</v>
      </c>
    </row>
    <row r="114" spans="1:6">
      <c r="A114" s="3">
        <v>0</v>
      </c>
      <c r="B114" s="4">
        <f>AVERAGE(B51:B55)</f>
        <v>2.8241800000000001E-2</v>
      </c>
      <c r="C114" s="4">
        <f>AVERAGE(C51:C55)</f>
        <v>1.0238000000000001E-2</v>
      </c>
      <c r="D114" s="9">
        <v>0</v>
      </c>
      <c r="E114">
        <f>AVERAGE(H43:H47)</f>
        <v>0</v>
      </c>
      <c r="F114" s="4">
        <f>AVERAGE(E51:E55)</f>
        <v>2.1534540000000001E-2</v>
      </c>
    </row>
    <row r="115" spans="1:6">
      <c r="A115" s="3">
        <v>-0.3</v>
      </c>
      <c r="B115" s="4">
        <f>AVERAGE(B70:B74)</f>
        <v>0.39697940000000004</v>
      </c>
      <c r="C115" s="4">
        <f>AVERAGE(C70:C74)</f>
        <v>0.40174320000000002</v>
      </c>
      <c r="D115" s="9">
        <f>AVERAGE(D70:D74)</f>
        <v>0.19237000000000001</v>
      </c>
      <c r="E115">
        <f>AVERAGE(H62:H66)</f>
        <v>0</v>
      </c>
      <c r="F115" s="4">
        <f>AVERAGE(F70:F74)</f>
        <v>3.89684E-2</v>
      </c>
    </row>
    <row r="116" spans="1:6">
      <c r="A116" s="3">
        <v>-0.7</v>
      </c>
      <c r="B116" s="4">
        <f>AVERAGE(B89:B93)</f>
        <v>3.835944</v>
      </c>
      <c r="C116" s="4">
        <f>AVERAGE(C89:C93)</f>
        <v>3.8688463999999998</v>
      </c>
      <c r="D116" s="9">
        <f>AVERAGE(D89:D93)</f>
        <v>3.8768380000000002</v>
      </c>
      <c r="E116">
        <f>AVERAGE(H43:H47)</f>
        <v>0</v>
      </c>
      <c r="F116" s="4">
        <f>AVERAGE(F89:F93)</f>
        <v>4.0677959999999999E-2</v>
      </c>
    </row>
  </sheetData>
  <mergeCells count="18">
    <mergeCell ref="A99:G99"/>
    <mergeCell ref="A100:G100"/>
    <mergeCell ref="A110:C110"/>
    <mergeCell ref="A30:C30"/>
    <mergeCell ref="A40:G40"/>
    <mergeCell ref="A41:G41"/>
    <mergeCell ref="A49:C49"/>
    <mergeCell ref="A59:G59"/>
    <mergeCell ref="A60:G60"/>
    <mergeCell ref="A68:C68"/>
    <mergeCell ref="A78:G78"/>
    <mergeCell ref="A79:G79"/>
    <mergeCell ref="A87:C87"/>
    <mergeCell ref="A1:G1"/>
    <mergeCell ref="A2:G2"/>
    <mergeCell ref="A10:C10"/>
    <mergeCell ref="A21:G21"/>
    <mergeCell ref="A22:G22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C17E-2A9C-41C3-A7A1-5A3A8E18F4DE}">
  <dimension ref="A1:I66"/>
  <sheetViews>
    <sheetView tabSelected="1" topLeftCell="A61" zoomScale="85" zoomScaleNormal="85" workbookViewId="0">
      <selection activeCell="J84" sqref="J84"/>
    </sheetView>
  </sheetViews>
  <sheetFormatPr defaultRowHeight="15"/>
  <cols>
    <col min="2" max="2" width="15.85546875" bestFit="1" customWidth="1"/>
    <col min="3" max="3" width="11.5703125" bestFit="1" customWidth="1"/>
    <col min="4" max="4" width="38.28515625" bestFit="1" customWidth="1"/>
    <col min="5" max="5" width="14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>
      <c r="A1" s="16" t="s">
        <v>15</v>
      </c>
      <c r="B1" s="16"/>
      <c r="C1" s="16"/>
      <c r="D1" s="16"/>
      <c r="E1" s="16"/>
      <c r="F1" s="16"/>
      <c r="G1" s="16"/>
    </row>
    <row r="2" spans="1:9">
      <c r="A2" s="18" t="s">
        <v>2</v>
      </c>
      <c r="B2" s="19"/>
      <c r="C2" s="19"/>
      <c r="D2" s="19"/>
      <c r="E2" s="19"/>
      <c r="F2" s="19"/>
      <c r="G2" s="20"/>
    </row>
    <row r="3" spans="1:9" ht="75">
      <c r="A3" s="7"/>
      <c r="B3" s="1" t="s">
        <v>6</v>
      </c>
      <c r="C3" s="6" t="s">
        <v>7</v>
      </c>
      <c r="D3" s="1" t="s">
        <v>8</v>
      </c>
      <c r="E3" s="6" t="s">
        <v>9</v>
      </c>
      <c r="F3" s="1" t="s">
        <v>1</v>
      </c>
      <c r="G3" s="1" t="s">
        <v>0</v>
      </c>
      <c r="H3" s="2" t="s">
        <v>23</v>
      </c>
      <c r="I3" s="10" t="s">
        <v>24</v>
      </c>
    </row>
    <row r="4" spans="1:9">
      <c r="A4" s="1" t="s">
        <v>10</v>
      </c>
      <c r="B4">
        <v>22</v>
      </c>
      <c r="C4">
        <v>34</v>
      </c>
      <c r="D4">
        <v>56</v>
      </c>
      <c r="E4">
        <v>58</v>
      </c>
      <c r="F4">
        <v>17</v>
      </c>
      <c r="G4">
        <v>13</v>
      </c>
      <c r="H4">
        <v>87</v>
      </c>
      <c r="I4">
        <v>55</v>
      </c>
    </row>
    <row r="5" spans="1:9">
      <c r="A5" s="1" t="s">
        <v>11</v>
      </c>
      <c r="B5">
        <v>84</v>
      </c>
      <c r="C5">
        <v>71</v>
      </c>
      <c r="D5">
        <v>70</v>
      </c>
      <c r="E5">
        <v>75</v>
      </c>
      <c r="F5">
        <v>32</v>
      </c>
      <c r="G5">
        <v>8</v>
      </c>
      <c r="H5">
        <v>184</v>
      </c>
      <c r="I5">
        <v>130</v>
      </c>
    </row>
    <row r="6" spans="1:9">
      <c r="A6" s="1" t="s">
        <v>12</v>
      </c>
      <c r="B6">
        <v>41</v>
      </c>
      <c r="C6">
        <v>22</v>
      </c>
      <c r="D6">
        <v>70</v>
      </c>
      <c r="E6">
        <v>54</v>
      </c>
      <c r="F6">
        <v>18</v>
      </c>
      <c r="G6">
        <v>8</v>
      </c>
      <c r="H6">
        <v>262</v>
      </c>
      <c r="I6">
        <v>79</v>
      </c>
    </row>
    <row r="7" spans="1:9">
      <c r="A7" s="1" t="s">
        <v>13</v>
      </c>
      <c r="B7">
        <v>51</v>
      </c>
      <c r="C7">
        <v>32</v>
      </c>
      <c r="D7">
        <v>61</v>
      </c>
      <c r="E7">
        <v>72</v>
      </c>
      <c r="F7">
        <v>27</v>
      </c>
      <c r="G7">
        <v>7</v>
      </c>
      <c r="H7">
        <v>186</v>
      </c>
      <c r="I7">
        <v>63</v>
      </c>
    </row>
    <row r="8" spans="1:9">
      <c r="A8" s="1" t="s">
        <v>14</v>
      </c>
      <c r="B8">
        <v>54</v>
      </c>
      <c r="C8">
        <v>1</v>
      </c>
      <c r="D8">
        <v>59</v>
      </c>
      <c r="E8">
        <v>57</v>
      </c>
      <c r="F8">
        <v>18</v>
      </c>
      <c r="G8">
        <v>8</v>
      </c>
      <c r="H8">
        <v>96</v>
      </c>
      <c r="I8">
        <v>95</v>
      </c>
    </row>
    <row r="13" spans="1:9">
      <c r="A13" s="16" t="s">
        <v>18</v>
      </c>
      <c r="B13" s="16"/>
      <c r="C13" s="16"/>
      <c r="D13" s="16"/>
      <c r="E13" s="16"/>
      <c r="F13" s="16"/>
      <c r="G13" s="16"/>
    </row>
    <row r="14" spans="1:9">
      <c r="A14" s="18" t="s">
        <v>2</v>
      </c>
      <c r="B14" s="19"/>
      <c r="C14" s="19"/>
      <c r="D14" s="19"/>
      <c r="E14" s="19"/>
      <c r="F14" s="19"/>
      <c r="G14" s="20"/>
    </row>
    <row r="15" spans="1:9" ht="75">
      <c r="A15" s="7"/>
      <c r="B15" s="1" t="s">
        <v>6</v>
      </c>
      <c r="C15" s="6" t="s">
        <v>7</v>
      </c>
      <c r="D15" s="1" t="s">
        <v>8</v>
      </c>
      <c r="E15" s="6" t="s">
        <v>9</v>
      </c>
      <c r="F15" s="1" t="s">
        <v>1</v>
      </c>
      <c r="G15" s="1" t="s">
        <v>0</v>
      </c>
      <c r="H15" s="2" t="s">
        <v>23</v>
      </c>
      <c r="I15" s="10" t="s">
        <v>24</v>
      </c>
    </row>
    <row r="16" spans="1:9">
      <c r="A16" s="1" t="s">
        <v>10</v>
      </c>
      <c r="B16">
        <v>2</v>
      </c>
      <c r="C16">
        <v>42</v>
      </c>
      <c r="D16">
        <v>74</v>
      </c>
      <c r="E16">
        <v>97</v>
      </c>
      <c r="F16">
        <v>28</v>
      </c>
      <c r="G16">
        <v>8</v>
      </c>
      <c r="H16">
        <v>183</v>
      </c>
      <c r="I16">
        <v>60</v>
      </c>
    </row>
    <row r="17" spans="1:9">
      <c r="A17" s="1" t="s">
        <v>11</v>
      </c>
      <c r="B17">
        <v>6</v>
      </c>
      <c r="C17">
        <v>88</v>
      </c>
      <c r="D17">
        <v>78</v>
      </c>
      <c r="E17">
        <v>94</v>
      </c>
      <c r="F17">
        <v>32</v>
      </c>
      <c r="G17">
        <v>4</v>
      </c>
      <c r="H17">
        <v>201</v>
      </c>
      <c r="I17">
        <v>105</v>
      </c>
    </row>
    <row r="18" spans="1:9">
      <c r="A18" s="1" t="s">
        <v>12</v>
      </c>
      <c r="B18">
        <v>28</v>
      </c>
      <c r="C18">
        <v>58</v>
      </c>
      <c r="D18">
        <v>74</v>
      </c>
      <c r="E18">
        <v>85</v>
      </c>
      <c r="F18">
        <v>17</v>
      </c>
      <c r="G18">
        <v>10</v>
      </c>
      <c r="H18">
        <v>145</v>
      </c>
      <c r="I18">
        <v>112</v>
      </c>
    </row>
    <row r="19" spans="1:9">
      <c r="A19" s="1" t="s">
        <v>13</v>
      </c>
      <c r="B19">
        <v>43</v>
      </c>
      <c r="C19">
        <v>85</v>
      </c>
      <c r="D19">
        <v>72</v>
      </c>
      <c r="E19">
        <v>74</v>
      </c>
      <c r="F19">
        <v>26</v>
      </c>
      <c r="G19">
        <v>4</v>
      </c>
      <c r="H19">
        <v>121</v>
      </c>
      <c r="I19">
        <v>69</v>
      </c>
    </row>
    <row r="20" spans="1:9">
      <c r="A20" s="1" t="s">
        <v>14</v>
      </c>
      <c r="B20">
        <v>18</v>
      </c>
      <c r="C20">
        <v>49</v>
      </c>
      <c r="D20">
        <v>85</v>
      </c>
      <c r="E20">
        <v>75</v>
      </c>
      <c r="F20">
        <v>25</v>
      </c>
      <c r="G20">
        <v>7</v>
      </c>
      <c r="H20">
        <v>142</v>
      </c>
      <c r="I20">
        <v>68</v>
      </c>
    </row>
    <row r="24" spans="1:9">
      <c r="A24" s="16" t="s">
        <v>19</v>
      </c>
      <c r="B24" s="16"/>
      <c r="C24" s="16"/>
      <c r="D24" s="16"/>
      <c r="E24" s="16"/>
      <c r="F24" s="16"/>
      <c r="G24" s="16"/>
    </row>
    <row r="25" spans="1:9">
      <c r="A25" s="18" t="s">
        <v>2</v>
      </c>
      <c r="B25" s="19"/>
      <c r="C25" s="19"/>
      <c r="D25" s="19"/>
      <c r="E25" s="19"/>
      <c r="F25" s="19"/>
      <c r="G25" s="20"/>
    </row>
    <row r="26" spans="1:9" ht="75">
      <c r="A26" s="7"/>
      <c r="B26" s="1" t="s">
        <v>6</v>
      </c>
      <c r="C26" s="6" t="s">
        <v>7</v>
      </c>
      <c r="D26" s="1" t="s">
        <v>8</v>
      </c>
      <c r="E26" s="6" t="s">
        <v>9</v>
      </c>
      <c r="F26" s="1" t="s">
        <v>1</v>
      </c>
      <c r="G26" s="1" t="s">
        <v>0</v>
      </c>
      <c r="H26" s="2" t="s">
        <v>23</v>
      </c>
      <c r="I26" s="10" t="s">
        <v>24</v>
      </c>
    </row>
    <row r="27" spans="1:9">
      <c r="A27" s="1" t="s">
        <v>10</v>
      </c>
      <c r="B27">
        <v>15</v>
      </c>
      <c r="C27">
        <v>11</v>
      </c>
      <c r="D27">
        <v>122</v>
      </c>
      <c r="E27">
        <v>83</v>
      </c>
      <c r="F27">
        <v>17</v>
      </c>
      <c r="G27">
        <v>5</v>
      </c>
      <c r="H27">
        <v>6</v>
      </c>
      <c r="I27">
        <v>10</v>
      </c>
    </row>
    <row r="28" spans="1:9">
      <c r="A28" s="1" t="s">
        <v>11</v>
      </c>
      <c r="B28">
        <v>4</v>
      </c>
      <c r="C28">
        <v>5</v>
      </c>
      <c r="D28">
        <v>123</v>
      </c>
      <c r="E28">
        <v>107</v>
      </c>
      <c r="F28">
        <v>18</v>
      </c>
      <c r="G28">
        <v>9</v>
      </c>
      <c r="H28">
        <v>6</v>
      </c>
      <c r="I28">
        <v>14</v>
      </c>
    </row>
    <row r="29" spans="1:9">
      <c r="A29" s="1" t="s">
        <v>12</v>
      </c>
      <c r="B29">
        <v>8</v>
      </c>
      <c r="C29">
        <v>4</v>
      </c>
      <c r="D29">
        <v>69</v>
      </c>
      <c r="E29">
        <v>92</v>
      </c>
      <c r="F29">
        <v>19</v>
      </c>
      <c r="G29">
        <v>7</v>
      </c>
      <c r="H29">
        <v>4</v>
      </c>
      <c r="I29">
        <v>18</v>
      </c>
    </row>
    <row r="30" spans="1:9">
      <c r="A30" s="1" t="s">
        <v>13</v>
      </c>
      <c r="B30">
        <v>5</v>
      </c>
      <c r="C30">
        <v>7</v>
      </c>
      <c r="D30">
        <v>94</v>
      </c>
      <c r="E30">
        <v>76</v>
      </c>
      <c r="F30">
        <v>22</v>
      </c>
      <c r="G30">
        <v>21</v>
      </c>
      <c r="H30">
        <v>5</v>
      </c>
      <c r="I30">
        <v>11</v>
      </c>
    </row>
    <row r="31" spans="1:9">
      <c r="A31" s="1" t="s">
        <v>14</v>
      </c>
      <c r="B31">
        <v>8</v>
      </c>
      <c r="C31">
        <v>2</v>
      </c>
      <c r="D31">
        <v>87</v>
      </c>
      <c r="E31">
        <v>91</v>
      </c>
      <c r="F31">
        <v>19</v>
      </c>
      <c r="G31">
        <v>9</v>
      </c>
      <c r="H31">
        <v>7</v>
      </c>
      <c r="I31">
        <v>16</v>
      </c>
    </row>
    <row r="36" spans="1:9">
      <c r="A36" s="16" t="s">
        <v>20</v>
      </c>
      <c r="B36" s="16"/>
      <c r="C36" s="16"/>
      <c r="D36" s="16"/>
      <c r="E36" s="16"/>
      <c r="F36" s="16"/>
      <c r="G36" s="16"/>
    </row>
    <row r="37" spans="1:9">
      <c r="A37" s="18" t="s">
        <v>2</v>
      </c>
      <c r="B37" s="19"/>
      <c r="C37" s="19"/>
      <c r="D37" s="19"/>
      <c r="E37" s="19"/>
      <c r="F37" s="19"/>
      <c r="G37" s="20"/>
    </row>
    <row r="38" spans="1:9" ht="75">
      <c r="A38" s="7"/>
      <c r="B38" s="1" t="s">
        <v>6</v>
      </c>
      <c r="C38" s="6" t="s">
        <v>7</v>
      </c>
      <c r="D38" s="1" t="s">
        <v>8</v>
      </c>
      <c r="E38" s="6" t="s">
        <v>9</v>
      </c>
      <c r="F38" s="1" t="s">
        <v>1</v>
      </c>
      <c r="G38" s="1" t="s">
        <v>0</v>
      </c>
      <c r="H38" s="2" t="s">
        <v>23</v>
      </c>
      <c r="I38" s="10" t="s">
        <v>24</v>
      </c>
    </row>
    <row r="39" spans="1:9">
      <c r="A39" s="1" t="s">
        <v>10</v>
      </c>
      <c r="B39">
        <v>96</v>
      </c>
      <c r="C39">
        <v>47</v>
      </c>
      <c r="D39">
        <v>91</v>
      </c>
      <c r="E39">
        <v>70</v>
      </c>
      <c r="F39">
        <v>23</v>
      </c>
      <c r="G39">
        <v>9</v>
      </c>
      <c r="H39">
        <v>145</v>
      </c>
      <c r="I39">
        <v>62</v>
      </c>
    </row>
    <row r="40" spans="1:9">
      <c r="A40" s="1" t="s">
        <v>11</v>
      </c>
      <c r="B40">
        <v>20</v>
      </c>
      <c r="C40">
        <v>49</v>
      </c>
      <c r="D40">
        <v>113</v>
      </c>
      <c r="E40">
        <v>87</v>
      </c>
      <c r="F40">
        <v>31</v>
      </c>
      <c r="G40">
        <v>6</v>
      </c>
      <c r="H40">
        <v>158</v>
      </c>
      <c r="I40">
        <v>99</v>
      </c>
    </row>
    <row r="41" spans="1:9">
      <c r="A41" s="1" t="s">
        <v>12</v>
      </c>
      <c r="B41">
        <v>22</v>
      </c>
      <c r="C41">
        <v>9</v>
      </c>
      <c r="D41">
        <v>80</v>
      </c>
      <c r="E41">
        <v>69</v>
      </c>
      <c r="F41">
        <v>12</v>
      </c>
      <c r="G41">
        <v>15</v>
      </c>
      <c r="H41">
        <v>173</v>
      </c>
      <c r="I41">
        <v>127</v>
      </c>
    </row>
    <row r="42" spans="1:9">
      <c r="A42" s="1" t="s">
        <v>13</v>
      </c>
      <c r="B42">
        <v>62</v>
      </c>
      <c r="C42">
        <v>75</v>
      </c>
      <c r="D42">
        <v>83</v>
      </c>
      <c r="E42">
        <v>62</v>
      </c>
      <c r="F42">
        <v>20</v>
      </c>
      <c r="G42">
        <v>4</v>
      </c>
      <c r="H42">
        <v>165</v>
      </c>
      <c r="I42">
        <v>54</v>
      </c>
    </row>
    <row r="43" spans="1:9">
      <c r="A43" s="1" t="s">
        <v>14</v>
      </c>
      <c r="B43">
        <v>48</v>
      </c>
      <c r="C43">
        <v>32</v>
      </c>
      <c r="D43">
        <v>94</v>
      </c>
      <c r="E43">
        <v>65</v>
      </c>
      <c r="F43">
        <v>15</v>
      </c>
      <c r="G43">
        <v>23</v>
      </c>
      <c r="H43">
        <v>67</v>
      </c>
      <c r="I43">
        <v>114</v>
      </c>
    </row>
    <row r="48" spans="1:9">
      <c r="A48" s="16" t="s">
        <v>21</v>
      </c>
      <c r="B48" s="16"/>
      <c r="C48" s="16"/>
      <c r="D48" s="16"/>
      <c r="E48" s="16"/>
      <c r="F48" s="16"/>
      <c r="G48" s="16"/>
    </row>
    <row r="49" spans="1:9">
      <c r="A49" s="18" t="s">
        <v>2</v>
      </c>
      <c r="B49" s="19"/>
      <c r="C49" s="19"/>
      <c r="D49" s="19"/>
      <c r="E49" s="19"/>
      <c r="F49" s="19"/>
      <c r="G49" s="20"/>
    </row>
    <row r="50" spans="1:9" ht="75">
      <c r="A50" s="7"/>
      <c r="B50" s="1" t="s">
        <v>6</v>
      </c>
      <c r="C50" s="6" t="s">
        <v>7</v>
      </c>
      <c r="D50" s="1" t="s">
        <v>8</v>
      </c>
      <c r="E50" s="6" t="s">
        <v>9</v>
      </c>
      <c r="F50" s="1" t="s">
        <v>1</v>
      </c>
      <c r="G50" s="1" t="s">
        <v>0</v>
      </c>
      <c r="H50" s="2" t="s">
        <v>23</v>
      </c>
      <c r="I50" s="10" t="s">
        <v>24</v>
      </c>
    </row>
    <row r="51" spans="1:9">
      <c r="A51" s="1" t="s">
        <v>10</v>
      </c>
      <c r="B51">
        <v>23</v>
      </c>
      <c r="C51">
        <v>14</v>
      </c>
      <c r="D51">
        <v>105</v>
      </c>
      <c r="E51">
        <v>34</v>
      </c>
      <c r="F51">
        <v>26</v>
      </c>
      <c r="G51">
        <v>7</v>
      </c>
      <c r="H51">
        <v>77</v>
      </c>
      <c r="I51">
        <v>106</v>
      </c>
    </row>
    <row r="52" spans="1:9">
      <c r="A52" s="1" t="s">
        <v>11</v>
      </c>
      <c r="B52">
        <v>40</v>
      </c>
      <c r="C52">
        <v>60</v>
      </c>
      <c r="D52">
        <v>87</v>
      </c>
      <c r="E52">
        <v>35</v>
      </c>
      <c r="F52">
        <v>26</v>
      </c>
      <c r="G52">
        <v>4</v>
      </c>
      <c r="H52">
        <v>89</v>
      </c>
      <c r="I52">
        <v>211</v>
      </c>
    </row>
    <row r="53" spans="1:9">
      <c r="A53" s="1" t="s">
        <v>12</v>
      </c>
      <c r="B53">
        <v>15</v>
      </c>
      <c r="C53">
        <v>24</v>
      </c>
      <c r="D53">
        <v>87</v>
      </c>
      <c r="E53">
        <v>25</v>
      </c>
      <c r="F53">
        <v>9</v>
      </c>
      <c r="G53">
        <v>18</v>
      </c>
      <c r="H53">
        <v>120</v>
      </c>
      <c r="I53">
        <v>197</v>
      </c>
    </row>
    <row r="54" spans="1:9">
      <c r="A54" s="1" t="s">
        <v>13</v>
      </c>
      <c r="B54">
        <v>10</v>
      </c>
      <c r="C54">
        <v>1</v>
      </c>
      <c r="D54">
        <v>113</v>
      </c>
      <c r="E54">
        <v>25</v>
      </c>
      <c r="F54">
        <v>19</v>
      </c>
      <c r="G54">
        <v>9</v>
      </c>
      <c r="H54">
        <v>250</v>
      </c>
      <c r="I54">
        <v>68</v>
      </c>
    </row>
    <row r="55" spans="1:9">
      <c r="A55" s="1" t="s">
        <v>14</v>
      </c>
      <c r="B55">
        <v>19</v>
      </c>
      <c r="C55">
        <v>41</v>
      </c>
      <c r="D55">
        <v>72</v>
      </c>
      <c r="E55">
        <v>30</v>
      </c>
      <c r="F55">
        <v>27</v>
      </c>
      <c r="G55">
        <v>4</v>
      </c>
      <c r="H55">
        <v>81</v>
      </c>
      <c r="I55">
        <v>195</v>
      </c>
    </row>
    <row r="59" spans="1:9">
      <c r="A59" s="17" t="s">
        <v>22</v>
      </c>
      <c r="B59" s="17"/>
      <c r="C59" s="17"/>
      <c r="D59" s="17"/>
      <c r="E59" s="17"/>
      <c r="F59" s="17"/>
      <c r="G59" s="17"/>
    </row>
    <row r="60" spans="1:9">
      <c r="A60" s="18" t="s">
        <v>2</v>
      </c>
      <c r="B60" s="19"/>
      <c r="C60" s="19"/>
      <c r="D60" s="19"/>
      <c r="E60" s="19"/>
      <c r="F60" s="19"/>
      <c r="G60" s="20"/>
    </row>
    <row r="61" spans="1:9" ht="75">
      <c r="A61" s="8"/>
      <c r="B61" s="1" t="s">
        <v>6</v>
      </c>
      <c r="C61" s="6" t="s">
        <v>7</v>
      </c>
      <c r="D61" s="1" t="s">
        <v>8</v>
      </c>
      <c r="E61" s="6" t="s">
        <v>9</v>
      </c>
      <c r="F61" s="1" t="s">
        <v>1</v>
      </c>
      <c r="G61" s="1" t="s">
        <v>0</v>
      </c>
      <c r="H61" s="2" t="s">
        <v>23</v>
      </c>
      <c r="I61" s="10" t="s">
        <v>24</v>
      </c>
    </row>
    <row r="62" spans="1:9">
      <c r="A62" s="2">
        <v>0.7</v>
      </c>
      <c r="B62">
        <f>AVERAGE(B4:B8)</f>
        <v>50.4</v>
      </c>
      <c r="C62">
        <f>AVERAGE(C4:C8)</f>
        <v>32</v>
      </c>
      <c r="D62">
        <f>AVERAGE(D4:D8)</f>
        <v>63.2</v>
      </c>
      <c r="E62">
        <f t="shared" ref="E62:G62" si="0">AVERAGE(E4:E8)</f>
        <v>63.2</v>
      </c>
      <c r="F62">
        <f t="shared" si="0"/>
        <v>22.4</v>
      </c>
      <c r="G62">
        <f t="shared" si="0"/>
        <v>8.8000000000000007</v>
      </c>
      <c r="H62">
        <f>AVERAGE(H4:H8)</f>
        <v>163</v>
      </c>
      <c r="I62">
        <f>AVERAGE(I4:I8)</f>
        <v>84.4</v>
      </c>
    </row>
    <row r="63" spans="1:9">
      <c r="A63" s="3">
        <v>0.3</v>
      </c>
      <c r="B63">
        <f>AVERAGE(B16:B20)</f>
        <v>19.399999999999999</v>
      </c>
      <c r="C63">
        <f>AVERAGE(C16:C20)</f>
        <v>64.400000000000006</v>
      </c>
      <c r="D63">
        <f t="shared" ref="D63:G63" si="1">AVERAGE(D16:D20)</f>
        <v>76.599999999999994</v>
      </c>
      <c r="E63">
        <f t="shared" si="1"/>
        <v>85</v>
      </c>
      <c r="F63">
        <f t="shared" si="1"/>
        <v>25.6</v>
      </c>
      <c r="G63">
        <f t="shared" si="1"/>
        <v>6.6</v>
      </c>
      <c r="H63">
        <f>AVERAGE(H16:H20)</f>
        <v>158.4</v>
      </c>
      <c r="I63">
        <f>AVERAGE(I16:I20)</f>
        <v>82.8</v>
      </c>
    </row>
    <row r="64" spans="1:9">
      <c r="A64" s="3">
        <v>0</v>
      </c>
      <c r="B64">
        <f>AVERAGE(B27:B31)</f>
        <v>8</v>
      </c>
      <c r="C64">
        <f t="shared" ref="C64:G64" si="2">AVERAGE(C27:C31)</f>
        <v>5.8</v>
      </c>
      <c r="D64">
        <f t="shared" si="2"/>
        <v>99</v>
      </c>
      <c r="E64">
        <f t="shared" si="2"/>
        <v>89.8</v>
      </c>
      <c r="F64">
        <f t="shared" si="2"/>
        <v>19</v>
      </c>
      <c r="G64">
        <f t="shared" si="2"/>
        <v>10.199999999999999</v>
      </c>
      <c r="H64">
        <f>AVERAGE(H27:H31)</f>
        <v>5.6</v>
      </c>
      <c r="I64">
        <f>AVERAGE(I27:I31)</f>
        <v>13.8</v>
      </c>
    </row>
    <row r="65" spans="1:9">
      <c r="A65" s="3">
        <v>-0.3</v>
      </c>
      <c r="B65">
        <f>AVERAGE(B39:B43)</f>
        <v>49.6</v>
      </c>
      <c r="C65">
        <f t="shared" ref="C65:G65" si="3">AVERAGE(C39:C43)</f>
        <v>42.4</v>
      </c>
      <c r="D65">
        <f t="shared" si="3"/>
        <v>92.2</v>
      </c>
      <c r="E65">
        <f t="shared" si="3"/>
        <v>70.599999999999994</v>
      </c>
      <c r="F65">
        <f t="shared" si="3"/>
        <v>20.2</v>
      </c>
      <c r="G65">
        <f t="shared" si="3"/>
        <v>11.4</v>
      </c>
      <c r="H65">
        <f>AVERAGE(H39:H43)</f>
        <v>141.6</v>
      </c>
      <c r="I65">
        <f>AVERAGE(I39:I43)</f>
        <v>91.2</v>
      </c>
    </row>
    <row r="66" spans="1:9">
      <c r="A66" s="3">
        <v>-0.7</v>
      </c>
      <c r="B66">
        <f t="shared" ref="B66:G66" si="4">AVERAGE(B51:B55)</f>
        <v>21.4</v>
      </c>
      <c r="C66">
        <f t="shared" si="4"/>
        <v>28</v>
      </c>
      <c r="D66">
        <f t="shared" si="4"/>
        <v>92.8</v>
      </c>
      <c r="E66">
        <f t="shared" si="4"/>
        <v>29.8</v>
      </c>
      <c r="F66">
        <f t="shared" si="4"/>
        <v>21.4</v>
      </c>
      <c r="G66">
        <f t="shared" si="4"/>
        <v>8.4</v>
      </c>
      <c r="H66">
        <f>AVERAGE(H51:H55)</f>
        <v>123.4</v>
      </c>
      <c r="I66">
        <f>AVERAGE(I51:I55)</f>
        <v>155.4</v>
      </c>
    </row>
  </sheetData>
  <mergeCells count="12">
    <mergeCell ref="A59:G59"/>
    <mergeCell ref="A60:G60"/>
    <mergeCell ref="A36:G36"/>
    <mergeCell ref="A37:G37"/>
    <mergeCell ref="A48:G48"/>
    <mergeCell ref="A49:G49"/>
    <mergeCell ref="A25:G25"/>
    <mergeCell ref="A1:G1"/>
    <mergeCell ref="A2:G2"/>
    <mergeCell ref="A13:G13"/>
    <mergeCell ref="A14:G14"/>
    <mergeCell ref="A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2024-07-31T23:17:36Z</dcterms:created>
  <dcterms:modified xsi:type="dcterms:W3CDTF">2024-11-22T17:14:08Z</dcterms:modified>
</cp:coreProperties>
</file>
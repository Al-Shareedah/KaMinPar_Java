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SISR Script\Experiments data\Cardinality Skewness\"/>
    </mc:Choice>
  </mc:AlternateContent>
  <xr:revisionPtr revIDLastSave="0" documentId="13_ncr:1_{83A83C07-5E63-4174-9CEB-4E2703222E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riment 1 PGP" sheetId="13" r:id="rId1"/>
    <sheet name="Experiment 1 email" sheetId="14" r:id="rId2"/>
    <sheet name="Experiment 1 4elt" sheetId="15" r:id="rId3"/>
    <sheet name="Experiment 2 PGP" sheetId="10" r:id="rId4"/>
    <sheet name="Experiment 2 4elt" sheetId="11" r:id="rId5"/>
    <sheet name="Experiment 2 email" sheetId="12" r:id="rId6"/>
    <sheet name="Experiment 3 PGP" sheetId="1" r:id="rId7"/>
    <sheet name="Experiment 3 email" sheetId="8" r:id="rId8"/>
    <sheet name="Experiment 3 4elt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7" i="9" l="1"/>
  <c r="AI67" i="9"/>
  <c r="AH67" i="9"/>
  <c r="AG67" i="9"/>
  <c r="AF67" i="9"/>
  <c r="AE67" i="9"/>
  <c r="AJ66" i="9"/>
  <c r="AI66" i="9"/>
  <c r="AH66" i="9"/>
  <c r="AG66" i="9"/>
  <c r="AF66" i="9"/>
  <c r="AE66" i="9"/>
  <c r="AJ65" i="9"/>
  <c r="AI65" i="9"/>
  <c r="AH65" i="9"/>
  <c r="AG65" i="9"/>
  <c r="AF65" i="9"/>
  <c r="AE65" i="9"/>
  <c r="AJ64" i="9"/>
  <c r="AI64" i="9"/>
  <c r="AH64" i="9"/>
  <c r="AG64" i="9"/>
  <c r="AF64" i="9"/>
  <c r="AE64" i="9"/>
  <c r="AJ63" i="9"/>
  <c r="AI63" i="9"/>
  <c r="AH63" i="9"/>
  <c r="AG63" i="9"/>
  <c r="AF63" i="9"/>
  <c r="AE63" i="9"/>
  <c r="V98" i="12"/>
  <c r="W101" i="12"/>
  <c r="V101" i="12"/>
  <c r="U101" i="12"/>
  <c r="W100" i="12"/>
  <c r="V100" i="12"/>
  <c r="U100" i="12"/>
  <c r="V99" i="12"/>
  <c r="U99" i="12"/>
  <c r="U98" i="12"/>
  <c r="AK66" i="15"/>
  <c r="AJ66" i="15"/>
  <c r="AI66" i="15"/>
  <c r="AH66" i="15"/>
  <c r="AG66" i="15"/>
  <c r="AF66" i="15"/>
  <c r="AK65" i="15"/>
  <c r="AJ65" i="15"/>
  <c r="AI65" i="15"/>
  <c r="AH65" i="15"/>
  <c r="AG65" i="15"/>
  <c r="AF65" i="15"/>
  <c r="AK64" i="15"/>
  <c r="AJ64" i="15"/>
  <c r="AI64" i="15"/>
  <c r="AH64" i="15"/>
  <c r="AG64" i="15"/>
  <c r="AF64" i="15"/>
  <c r="AK63" i="15"/>
  <c r="AJ63" i="15"/>
  <c r="AI63" i="15"/>
  <c r="AH63" i="15"/>
  <c r="AG63" i="15"/>
  <c r="AF63" i="15"/>
  <c r="V96" i="15"/>
  <c r="U96" i="15"/>
  <c r="V95" i="15"/>
  <c r="U95" i="15"/>
  <c r="V94" i="15"/>
  <c r="U94" i="15"/>
  <c r="V93" i="15"/>
  <c r="U93" i="15"/>
  <c r="V85" i="15"/>
  <c r="U85" i="15"/>
  <c r="V84" i="15"/>
  <c r="U84" i="15"/>
  <c r="V83" i="15"/>
  <c r="U83" i="15"/>
  <c r="V82" i="15"/>
  <c r="U82" i="15"/>
  <c r="P55" i="15"/>
  <c r="O55" i="15"/>
  <c r="N55" i="15"/>
  <c r="M55" i="15"/>
  <c r="L55" i="15"/>
  <c r="K55" i="15"/>
  <c r="P54" i="15"/>
  <c r="O54" i="15"/>
  <c r="N54" i="15"/>
  <c r="M54" i="15"/>
  <c r="L54" i="15"/>
  <c r="K54" i="15"/>
  <c r="P53" i="15"/>
  <c r="O53" i="15"/>
  <c r="N53" i="15"/>
  <c r="M53" i="15"/>
  <c r="L53" i="15"/>
  <c r="K53" i="15"/>
  <c r="P52" i="15"/>
  <c r="O52" i="15"/>
  <c r="N52" i="15"/>
  <c r="M52" i="15"/>
  <c r="L52" i="15"/>
  <c r="K52" i="15"/>
  <c r="G58" i="15"/>
  <c r="F58" i="15"/>
  <c r="E58" i="15"/>
  <c r="D58" i="15"/>
  <c r="C58" i="15"/>
  <c r="B58" i="15"/>
  <c r="G57" i="15"/>
  <c r="F57" i="15"/>
  <c r="E57" i="15"/>
  <c r="D57" i="15"/>
  <c r="C57" i="15"/>
  <c r="B57" i="15"/>
  <c r="G56" i="15"/>
  <c r="F56" i="15"/>
  <c r="E56" i="15"/>
  <c r="D56" i="15"/>
  <c r="C56" i="15"/>
  <c r="B56" i="15"/>
  <c r="G55" i="15"/>
  <c r="F55" i="15"/>
  <c r="E55" i="15"/>
  <c r="D55" i="15"/>
  <c r="C55" i="15"/>
  <c r="B55" i="15"/>
  <c r="AJ66" i="14"/>
  <c r="AI66" i="14"/>
  <c r="AH66" i="14"/>
  <c r="AG66" i="14"/>
  <c r="AF66" i="14"/>
  <c r="AE66" i="14"/>
  <c r="AJ65" i="14"/>
  <c r="AI65" i="14"/>
  <c r="AH65" i="14"/>
  <c r="AG65" i="14"/>
  <c r="AF65" i="14"/>
  <c r="AE65" i="14"/>
  <c r="AJ64" i="14"/>
  <c r="AI64" i="14"/>
  <c r="AH64" i="14"/>
  <c r="AG64" i="14"/>
  <c r="AF64" i="14"/>
  <c r="AE64" i="14"/>
  <c r="AJ63" i="14"/>
  <c r="AI63" i="14"/>
  <c r="AH63" i="14"/>
  <c r="AG63" i="14"/>
  <c r="AF63" i="14"/>
  <c r="AE63" i="14"/>
  <c r="W96" i="14"/>
  <c r="V96" i="14"/>
  <c r="W95" i="14"/>
  <c r="V95" i="14"/>
  <c r="W94" i="14"/>
  <c r="V94" i="14"/>
  <c r="W93" i="14"/>
  <c r="V93" i="14"/>
  <c r="W85" i="14"/>
  <c r="V85" i="14"/>
  <c r="W84" i="14"/>
  <c r="V84" i="14"/>
  <c r="W83" i="14"/>
  <c r="V83" i="14"/>
  <c r="W82" i="14"/>
  <c r="V82" i="14"/>
  <c r="Q65" i="14"/>
  <c r="P65" i="14"/>
  <c r="O65" i="14"/>
  <c r="N65" i="14"/>
  <c r="M65" i="14"/>
  <c r="L65" i="14"/>
  <c r="Q64" i="14"/>
  <c r="P64" i="14"/>
  <c r="O64" i="14"/>
  <c r="N64" i="14"/>
  <c r="M64" i="14"/>
  <c r="L64" i="14"/>
  <c r="Q63" i="14"/>
  <c r="P63" i="14"/>
  <c r="O63" i="14"/>
  <c r="N63" i="14"/>
  <c r="M63" i="14"/>
  <c r="L63" i="14"/>
  <c r="Q62" i="14"/>
  <c r="P62" i="14"/>
  <c r="O62" i="14"/>
  <c r="N62" i="14"/>
  <c r="M62" i="14"/>
  <c r="L62" i="14"/>
  <c r="G58" i="14"/>
  <c r="F58" i="14"/>
  <c r="E58" i="14"/>
  <c r="D58" i="14"/>
  <c r="C58" i="14"/>
  <c r="B58" i="14"/>
  <c r="G57" i="14"/>
  <c r="F57" i="14"/>
  <c r="E57" i="14"/>
  <c r="D57" i="14"/>
  <c r="C57" i="14"/>
  <c r="B57" i="14"/>
  <c r="G56" i="14"/>
  <c r="F56" i="14"/>
  <c r="E56" i="14"/>
  <c r="D56" i="14"/>
  <c r="C56" i="14"/>
  <c r="B56" i="14"/>
  <c r="G55" i="14"/>
  <c r="F55" i="14"/>
  <c r="E55" i="14"/>
  <c r="D55" i="14"/>
  <c r="C55" i="14"/>
  <c r="B55" i="14"/>
  <c r="AM66" i="13"/>
  <c r="AL66" i="13"/>
  <c r="AK66" i="13"/>
  <c r="AJ66" i="13"/>
  <c r="AI66" i="13"/>
  <c r="AH66" i="13"/>
  <c r="AM65" i="13"/>
  <c r="AL65" i="13"/>
  <c r="AK65" i="13"/>
  <c r="AJ65" i="13"/>
  <c r="AI65" i="13"/>
  <c r="AH65" i="13"/>
  <c r="AM64" i="13"/>
  <c r="AL64" i="13"/>
  <c r="AK64" i="13"/>
  <c r="AJ64" i="13"/>
  <c r="AI64" i="13"/>
  <c r="AH64" i="13"/>
  <c r="AM63" i="13"/>
  <c r="AL63" i="13"/>
  <c r="AK63" i="13"/>
  <c r="AJ63" i="13"/>
  <c r="AI63" i="13"/>
  <c r="AH63" i="13"/>
  <c r="W96" i="13"/>
  <c r="V96" i="13"/>
  <c r="W95" i="13"/>
  <c r="V95" i="13"/>
  <c r="W94" i="13"/>
  <c r="V94" i="13"/>
  <c r="W93" i="13"/>
  <c r="V93" i="13"/>
  <c r="W85" i="13"/>
  <c r="V85" i="13"/>
  <c r="W84" i="13"/>
  <c r="V84" i="13"/>
  <c r="W83" i="13"/>
  <c r="V83" i="13"/>
  <c r="W82" i="13"/>
  <c r="V82" i="13"/>
  <c r="P55" i="13"/>
  <c r="O55" i="13"/>
  <c r="N55" i="13"/>
  <c r="M55" i="13"/>
  <c r="L55" i="13"/>
  <c r="K55" i="13"/>
  <c r="P54" i="13"/>
  <c r="O54" i="13"/>
  <c r="N54" i="13"/>
  <c r="M54" i="13"/>
  <c r="L54" i="13"/>
  <c r="K54" i="13"/>
  <c r="P53" i="13"/>
  <c r="O53" i="13"/>
  <c r="N53" i="13"/>
  <c r="M53" i="13"/>
  <c r="L53" i="13"/>
  <c r="K53" i="13"/>
  <c r="P52" i="13"/>
  <c r="O52" i="13"/>
  <c r="N52" i="13"/>
  <c r="M52" i="13"/>
  <c r="L52" i="13"/>
  <c r="K52" i="13"/>
  <c r="G58" i="13"/>
  <c r="F58" i="13"/>
  <c r="E58" i="13"/>
  <c r="D58" i="13"/>
  <c r="C58" i="13"/>
  <c r="B58" i="13"/>
  <c r="G57" i="13"/>
  <c r="F57" i="13"/>
  <c r="E57" i="13"/>
  <c r="D57" i="13"/>
  <c r="C57" i="13"/>
  <c r="B57" i="13"/>
  <c r="G56" i="13"/>
  <c r="F56" i="13"/>
  <c r="E56" i="13"/>
  <c r="D56" i="13"/>
  <c r="C56" i="13"/>
  <c r="B56" i="13"/>
  <c r="G55" i="13"/>
  <c r="F55" i="13"/>
  <c r="E55" i="13"/>
  <c r="D55" i="13"/>
  <c r="C55" i="13"/>
  <c r="B55" i="13"/>
  <c r="AI54" i="12"/>
  <c r="AH54" i="12"/>
  <c r="AG54" i="12"/>
  <c r="AF54" i="12"/>
  <c r="AE54" i="12"/>
  <c r="AD54" i="12"/>
  <c r="AI53" i="12"/>
  <c r="AH53" i="12"/>
  <c r="AG53" i="12"/>
  <c r="AF53" i="12"/>
  <c r="AE53" i="12"/>
  <c r="AD53" i="12"/>
  <c r="AI52" i="12"/>
  <c r="AH52" i="12"/>
  <c r="AG52" i="12"/>
  <c r="AF52" i="12"/>
  <c r="AE52" i="12"/>
  <c r="AD52" i="12"/>
  <c r="AI51" i="12"/>
  <c r="AH51" i="12"/>
  <c r="AG51" i="12"/>
  <c r="AF51" i="12"/>
  <c r="AE51" i="12"/>
  <c r="AD51" i="12"/>
  <c r="W93" i="12"/>
  <c r="V93" i="12"/>
  <c r="U93" i="12"/>
  <c r="W92" i="12"/>
  <c r="V92" i="12"/>
  <c r="U92" i="12"/>
  <c r="V91" i="12"/>
  <c r="U91" i="12"/>
  <c r="V90" i="12"/>
  <c r="U90" i="12"/>
  <c r="P59" i="12"/>
  <c r="O59" i="12"/>
  <c r="N59" i="12"/>
  <c r="M59" i="12"/>
  <c r="L59" i="12"/>
  <c r="K59" i="12"/>
  <c r="P58" i="12"/>
  <c r="O58" i="12"/>
  <c r="N58" i="12"/>
  <c r="M58" i="12"/>
  <c r="L58" i="12"/>
  <c r="K58" i="12"/>
  <c r="P57" i="12"/>
  <c r="O57" i="12"/>
  <c r="N57" i="12"/>
  <c r="M57" i="12"/>
  <c r="L57" i="12"/>
  <c r="K57" i="12"/>
  <c r="P56" i="12"/>
  <c r="O56" i="12"/>
  <c r="N56" i="12"/>
  <c r="M56" i="12"/>
  <c r="L56" i="12"/>
  <c r="K56" i="12"/>
  <c r="G53" i="12"/>
  <c r="F53" i="12"/>
  <c r="E53" i="12"/>
  <c r="D53" i="12"/>
  <c r="C53" i="12"/>
  <c r="B53" i="12"/>
  <c r="G52" i="12"/>
  <c r="F52" i="12"/>
  <c r="E52" i="12"/>
  <c r="D52" i="12"/>
  <c r="C52" i="12"/>
  <c r="B52" i="12"/>
  <c r="G51" i="12"/>
  <c r="F51" i="12"/>
  <c r="E51" i="12"/>
  <c r="D51" i="12"/>
  <c r="C51" i="12"/>
  <c r="B51" i="12"/>
  <c r="G50" i="12"/>
  <c r="F50" i="12"/>
  <c r="E50" i="12"/>
  <c r="D50" i="12"/>
  <c r="C50" i="12"/>
  <c r="B50" i="12"/>
  <c r="AK54" i="11"/>
  <c r="AJ54" i="11"/>
  <c r="AI54" i="11"/>
  <c r="AH54" i="11"/>
  <c r="AG54" i="11"/>
  <c r="AF54" i="11"/>
  <c r="AK53" i="11"/>
  <c r="AJ53" i="11"/>
  <c r="AI53" i="11"/>
  <c r="AH53" i="11"/>
  <c r="AG53" i="11"/>
  <c r="AF53" i="11"/>
  <c r="AK52" i="11"/>
  <c r="AJ52" i="11"/>
  <c r="AI52" i="11"/>
  <c r="AH52" i="11"/>
  <c r="AG52" i="11"/>
  <c r="AF52" i="11"/>
  <c r="AK51" i="11"/>
  <c r="AJ51" i="11"/>
  <c r="AI51" i="11"/>
  <c r="AH51" i="11"/>
  <c r="AG51" i="11"/>
  <c r="AF51" i="11"/>
  <c r="X101" i="11"/>
  <c r="W101" i="11"/>
  <c r="V101" i="11"/>
  <c r="X100" i="11"/>
  <c r="W100" i="11"/>
  <c r="V100" i="11"/>
  <c r="X99" i="11"/>
  <c r="W99" i="11"/>
  <c r="V99" i="11"/>
  <c r="W98" i="11"/>
  <c r="V98" i="11"/>
  <c r="X93" i="11"/>
  <c r="W93" i="11"/>
  <c r="V93" i="11"/>
  <c r="X92" i="11"/>
  <c r="W92" i="11"/>
  <c r="V92" i="11"/>
  <c r="X91" i="11"/>
  <c r="W91" i="11"/>
  <c r="V91" i="11"/>
  <c r="W90" i="11"/>
  <c r="V90" i="11"/>
  <c r="Q59" i="11"/>
  <c r="P59" i="11"/>
  <c r="O59" i="11"/>
  <c r="N59" i="11"/>
  <c r="M59" i="11"/>
  <c r="L59" i="11"/>
  <c r="Q58" i="11"/>
  <c r="P58" i="11"/>
  <c r="O58" i="11"/>
  <c r="N58" i="11"/>
  <c r="M58" i="11"/>
  <c r="L58" i="11"/>
  <c r="Q57" i="11"/>
  <c r="P57" i="11"/>
  <c r="O57" i="11"/>
  <c r="N57" i="11"/>
  <c r="M57" i="11"/>
  <c r="L57" i="11"/>
  <c r="Q56" i="11"/>
  <c r="P56" i="11"/>
  <c r="O56" i="11"/>
  <c r="N56" i="11"/>
  <c r="M56" i="11"/>
  <c r="L56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AK54" i="10"/>
  <c r="AJ54" i="10"/>
  <c r="AI54" i="10"/>
  <c r="AH54" i="10"/>
  <c r="AG54" i="10"/>
  <c r="AF54" i="10"/>
  <c r="AK53" i="10"/>
  <c r="AJ53" i="10"/>
  <c r="AI53" i="10"/>
  <c r="AH53" i="10"/>
  <c r="AG53" i="10"/>
  <c r="AF53" i="10"/>
  <c r="AK52" i="10"/>
  <c r="AJ52" i="10"/>
  <c r="AI52" i="10"/>
  <c r="AH52" i="10"/>
  <c r="AG52" i="10"/>
  <c r="AF52" i="10"/>
  <c r="AK51" i="10"/>
  <c r="AJ51" i="10"/>
  <c r="AI51" i="10"/>
  <c r="AH51" i="10"/>
  <c r="AG51" i="10"/>
  <c r="AF51" i="10"/>
  <c r="X101" i="10"/>
  <c r="W101" i="10"/>
  <c r="V101" i="10"/>
  <c r="X100" i="10"/>
  <c r="W100" i="10"/>
  <c r="V100" i="10"/>
  <c r="W99" i="10"/>
  <c r="V99" i="10"/>
  <c r="W98" i="10"/>
  <c r="V98" i="10"/>
  <c r="X93" i="10"/>
  <c r="W93" i="10"/>
  <c r="V93" i="10"/>
  <c r="X92" i="10"/>
  <c r="W92" i="10"/>
  <c r="V92" i="10"/>
  <c r="W91" i="10"/>
  <c r="V91" i="10"/>
  <c r="W90" i="10"/>
  <c r="V90" i="10"/>
  <c r="Q59" i="10"/>
  <c r="P59" i="10"/>
  <c r="O59" i="10"/>
  <c r="N59" i="10"/>
  <c r="M59" i="10"/>
  <c r="L59" i="10"/>
  <c r="Q58" i="10"/>
  <c r="P58" i="10"/>
  <c r="O58" i="10"/>
  <c r="N58" i="10"/>
  <c r="M58" i="10"/>
  <c r="L58" i="10"/>
  <c r="Q57" i="10"/>
  <c r="P57" i="10"/>
  <c r="O57" i="10"/>
  <c r="N57" i="10"/>
  <c r="M57" i="10"/>
  <c r="L57" i="10"/>
  <c r="Q56" i="10"/>
  <c r="P56" i="10"/>
  <c r="O56" i="10"/>
  <c r="N56" i="10"/>
  <c r="M56" i="10"/>
  <c r="L56" i="10"/>
  <c r="G53" i="10"/>
  <c r="F53" i="10"/>
  <c r="E53" i="10"/>
  <c r="D53" i="10"/>
  <c r="C53" i="10"/>
  <c r="B53" i="10"/>
  <c r="G52" i="10"/>
  <c r="F52" i="10"/>
  <c r="E52" i="10"/>
  <c r="D52" i="10"/>
  <c r="C52" i="10"/>
  <c r="B52" i="10"/>
  <c r="G51" i="10"/>
  <c r="F51" i="10"/>
  <c r="E51" i="10"/>
  <c r="D51" i="10"/>
  <c r="C51" i="10"/>
  <c r="B51" i="10"/>
  <c r="G50" i="10"/>
  <c r="F50" i="10"/>
  <c r="E50" i="10"/>
  <c r="D50" i="10"/>
  <c r="C50" i="10"/>
  <c r="B50" i="10"/>
  <c r="W116" i="9"/>
  <c r="V116" i="9"/>
  <c r="U116" i="9"/>
  <c r="W115" i="9"/>
  <c r="V115" i="9"/>
  <c r="U115" i="9"/>
  <c r="V114" i="9"/>
  <c r="U114" i="9"/>
  <c r="V113" i="9"/>
  <c r="U113" i="9"/>
  <c r="V112" i="9"/>
  <c r="U112" i="9"/>
  <c r="W106" i="9"/>
  <c r="V106" i="9"/>
  <c r="U106" i="9"/>
  <c r="W105" i="9"/>
  <c r="V105" i="9"/>
  <c r="U105" i="9"/>
  <c r="W104" i="9"/>
  <c r="V104" i="9"/>
  <c r="U104" i="9"/>
  <c r="W103" i="9"/>
  <c r="V103" i="9"/>
  <c r="U103" i="9"/>
  <c r="W102" i="9"/>
  <c r="V102" i="9"/>
  <c r="U102" i="9"/>
  <c r="P67" i="9"/>
  <c r="O67" i="9"/>
  <c r="N67" i="9"/>
  <c r="M67" i="9"/>
  <c r="L67" i="9"/>
  <c r="K67" i="9"/>
  <c r="P66" i="9"/>
  <c r="O66" i="9"/>
  <c r="N66" i="9"/>
  <c r="M66" i="9"/>
  <c r="L66" i="9"/>
  <c r="K66" i="9"/>
  <c r="P65" i="9"/>
  <c r="O65" i="9"/>
  <c r="N65" i="9"/>
  <c r="M65" i="9"/>
  <c r="L65" i="9"/>
  <c r="K65" i="9"/>
  <c r="P64" i="9"/>
  <c r="O64" i="9"/>
  <c r="N64" i="9"/>
  <c r="M64" i="9"/>
  <c r="L64" i="9"/>
  <c r="K64" i="9"/>
  <c r="P63" i="9"/>
  <c r="O63" i="9"/>
  <c r="N63" i="9"/>
  <c r="M63" i="9"/>
  <c r="L63" i="9"/>
  <c r="K63" i="9"/>
  <c r="G73" i="9"/>
  <c r="F73" i="9"/>
  <c r="E73" i="9"/>
  <c r="D73" i="9"/>
  <c r="C73" i="9"/>
  <c r="B73" i="9"/>
  <c r="G72" i="9"/>
  <c r="F72" i="9"/>
  <c r="E72" i="9"/>
  <c r="D72" i="9"/>
  <c r="C72" i="9"/>
  <c r="B72" i="9"/>
  <c r="G71" i="9"/>
  <c r="F71" i="9"/>
  <c r="E71" i="9"/>
  <c r="D71" i="9"/>
  <c r="C71" i="9"/>
  <c r="B71" i="9"/>
  <c r="G70" i="9"/>
  <c r="F70" i="9"/>
  <c r="E70" i="9"/>
  <c r="D70" i="9"/>
  <c r="C70" i="9"/>
  <c r="B70" i="9"/>
  <c r="G69" i="9"/>
  <c r="F69" i="9"/>
  <c r="E69" i="9"/>
  <c r="D69" i="9"/>
  <c r="C69" i="9"/>
  <c r="B69" i="9"/>
  <c r="AJ67" i="8"/>
  <c r="AI67" i="8"/>
  <c r="AH67" i="8"/>
  <c r="AG67" i="8"/>
  <c r="AF67" i="8"/>
  <c r="AE67" i="8"/>
  <c r="AJ66" i="8"/>
  <c r="AI66" i="8"/>
  <c r="AH66" i="8"/>
  <c r="AG66" i="8"/>
  <c r="AF66" i="8"/>
  <c r="AE66" i="8"/>
  <c r="AJ65" i="8"/>
  <c r="AI65" i="8"/>
  <c r="AH65" i="8"/>
  <c r="AG65" i="8"/>
  <c r="AF65" i="8"/>
  <c r="AE65" i="8"/>
  <c r="AJ64" i="8"/>
  <c r="AI64" i="8"/>
  <c r="AH64" i="8"/>
  <c r="AG64" i="8"/>
  <c r="AF64" i="8"/>
  <c r="AE64" i="8"/>
  <c r="AJ63" i="8"/>
  <c r="AI63" i="8"/>
  <c r="AH63" i="8"/>
  <c r="AG63" i="8"/>
  <c r="AF63" i="8"/>
  <c r="AE63" i="8"/>
  <c r="X116" i="8"/>
  <c r="W116" i="8"/>
  <c r="V116" i="8"/>
  <c r="X115" i="8"/>
  <c r="W115" i="8"/>
  <c r="V115" i="8"/>
  <c r="W114" i="8"/>
  <c r="V114" i="8"/>
  <c r="W113" i="8"/>
  <c r="V113" i="8"/>
  <c r="W112" i="8"/>
  <c r="V112" i="8"/>
  <c r="W106" i="8"/>
  <c r="V106" i="8"/>
  <c r="W105" i="8"/>
  <c r="V105" i="8"/>
  <c r="W104" i="8"/>
  <c r="V104" i="8"/>
  <c r="W103" i="8"/>
  <c r="V103" i="8"/>
  <c r="W102" i="8"/>
  <c r="V102" i="8"/>
  <c r="Q66" i="8"/>
  <c r="P66" i="8"/>
  <c r="O66" i="8"/>
  <c r="N66" i="8"/>
  <c r="M66" i="8"/>
  <c r="L66" i="8"/>
  <c r="Q65" i="8"/>
  <c r="P65" i="8"/>
  <c r="O65" i="8"/>
  <c r="N65" i="8"/>
  <c r="M65" i="8"/>
  <c r="L65" i="8"/>
  <c r="Q64" i="8"/>
  <c r="P64" i="8"/>
  <c r="O64" i="8"/>
  <c r="N64" i="8"/>
  <c r="M64" i="8"/>
  <c r="L64" i="8"/>
  <c r="Q63" i="8"/>
  <c r="P63" i="8"/>
  <c r="O63" i="8"/>
  <c r="N63" i="8"/>
  <c r="M63" i="8"/>
  <c r="L63" i="8"/>
  <c r="Q62" i="8"/>
  <c r="P62" i="8"/>
  <c r="O62" i="8"/>
  <c r="N62" i="8"/>
  <c r="M62" i="8"/>
  <c r="L62" i="8"/>
  <c r="G78" i="8"/>
  <c r="F78" i="8"/>
  <c r="E78" i="8"/>
  <c r="D78" i="8"/>
  <c r="C78" i="8"/>
  <c r="B78" i="8"/>
  <c r="G77" i="8"/>
  <c r="F77" i="8"/>
  <c r="E77" i="8"/>
  <c r="D77" i="8"/>
  <c r="C77" i="8"/>
  <c r="B77" i="8"/>
  <c r="G76" i="8"/>
  <c r="F76" i="8"/>
  <c r="E76" i="8"/>
  <c r="D76" i="8"/>
  <c r="C76" i="8"/>
  <c r="B76" i="8"/>
  <c r="G75" i="8"/>
  <c r="F75" i="8"/>
  <c r="E75" i="8"/>
  <c r="D75" i="8"/>
  <c r="C75" i="8"/>
  <c r="B75" i="8"/>
  <c r="G74" i="8"/>
  <c r="F74" i="8"/>
  <c r="E74" i="8"/>
  <c r="D74" i="8"/>
  <c r="C74" i="8"/>
  <c r="B74" i="8"/>
  <c r="AK67" i="1"/>
  <c r="AJ67" i="1"/>
  <c r="AI67" i="1"/>
  <c r="AH67" i="1"/>
  <c r="AG67" i="1"/>
  <c r="AF67" i="1"/>
  <c r="AK66" i="1"/>
  <c r="AJ66" i="1"/>
  <c r="AI66" i="1"/>
  <c r="AH66" i="1"/>
  <c r="AG66" i="1"/>
  <c r="AF66" i="1"/>
  <c r="AK65" i="1"/>
  <c r="AJ65" i="1"/>
  <c r="AI65" i="1"/>
  <c r="AH65" i="1"/>
  <c r="AG65" i="1"/>
  <c r="AF65" i="1"/>
  <c r="AK64" i="1"/>
  <c r="AJ64" i="1"/>
  <c r="AI64" i="1"/>
  <c r="AH64" i="1"/>
  <c r="AG64" i="1"/>
  <c r="AF64" i="1"/>
  <c r="AK63" i="1"/>
  <c r="AJ63" i="1"/>
  <c r="AI63" i="1"/>
  <c r="AH63" i="1"/>
  <c r="AG63" i="1"/>
  <c r="AF63" i="1"/>
  <c r="V105" i="1"/>
  <c r="X116" i="1"/>
  <c r="W116" i="1"/>
  <c r="V116" i="1"/>
  <c r="X115" i="1"/>
  <c r="W115" i="1"/>
  <c r="V115" i="1"/>
  <c r="W114" i="1"/>
  <c r="V114" i="1"/>
  <c r="W113" i="1"/>
  <c r="V113" i="1"/>
  <c r="W112" i="1"/>
  <c r="V112" i="1"/>
  <c r="X106" i="1"/>
  <c r="W106" i="1"/>
  <c r="V106" i="1"/>
  <c r="X105" i="1"/>
  <c r="W105" i="1"/>
  <c r="X104" i="1"/>
  <c r="W104" i="1"/>
  <c r="V104" i="1"/>
  <c r="X103" i="1"/>
  <c r="W103" i="1"/>
  <c r="V103" i="1"/>
  <c r="X102" i="1"/>
  <c r="W102" i="1"/>
  <c r="V102" i="1"/>
  <c r="M66" i="1"/>
  <c r="M67" i="1"/>
  <c r="R67" i="1"/>
  <c r="Q67" i="1"/>
  <c r="P67" i="1"/>
  <c r="O67" i="1"/>
  <c r="N67" i="1"/>
  <c r="R66" i="1"/>
  <c r="Q66" i="1"/>
  <c r="P66" i="1"/>
  <c r="O66" i="1"/>
  <c r="N66" i="1"/>
  <c r="R65" i="1"/>
  <c r="Q65" i="1"/>
  <c r="P65" i="1"/>
  <c r="O65" i="1"/>
  <c r="N65" i="1"/>
  <c r="M65" i="1"/>
  <c r="R64" i="1"/>
  <c r="Q64" i="1"/>
  <c r="P64" i="1"/>
  <c r="O64" i="1"/>
  <c r="N64" i="1"/>
  <c r="M64" i="1"/>
  <c r="R63" i="1"/>
  <c r="Q63" i="1"/>
  <c r="P63" i="1"/>
  <c r="O63" i="1"/>
  <c r="N63" i="1"/>
  <c r="M63" i="1"/>
  <c r="G72" i="1"/>
  <c r="G71" i="1"/>
  <c r="G70" i="1"/>
  <c r="G69" i="1"/>
  <c r="G68" i="1"/>
  <c r="F72" i="1"/>
  <c r="F71" i="1"/>
  <c r="F70" i="1"/>
  <c r="F69" i="1"/>
  <c r="F68" i="1"/>
  <c r="E72" i="1"/>
  <c r="E71" i="1"/>
  <c r="E70" i="1"/>
  <c r="E69" i="1"/>
  <c r="E68" i="1"/>
  <c r="D72" i="1"/>
  <c r="D71" i="1"/>
  <c r="D70" i="1"/>
  <c r="D69" i="1"/>
  <c r="D68" i="1"/>
  <c r="C72" i="1"/>
  <c r="C71" i="1"/>
  <c r="C70" i="1"/>
  <c r="C69" i="1"/>
  <c r="C68" i="1"/>
  <c r="B72" i="1"/>
  <c r="B71" i="1"/>
  <c r="B70" i="1"/>
  <c r="B69" i="1"/>
  <c r="B68" i="1"/>
</calcChain>
</file>

<file path=xl/sharedStrings.xml><?xml version="1.0" encoding="utf-8"?>
<sst xmlns="http://schemas.openxmlformats.org/spreadsheetml/2006/main" count="2721" uniqueCount="81">
  <si>
    <t>KaHIP</t>
  </si>
  <si>
    <t>KaMinPar</t>
  </si>
  <si>
    <t>Average Connected Components</t>
  </si>
  <si>
    <t>f = [0.7, 0.3, 0, -0.3, -0.7]</t>
  </si>
  <si>
    <t>Edge Cut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</si>
  <si>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</si>
  <si>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</si>
  <si>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</si>
  <si>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</si>
  <si>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Result 1</t>
  </si>
  <si>
    <t>Result 2</t>
  </si>
  <si>
    <t>Result 3</t>
  </si>
  <si>
    <t>Result 4</t>
  </si>
  <si>
    <t>Result 5</t>
  </si>
  <si>
    <t>K = 4, Graph = Email, Contraction = 70%, f = [-0.3]</t>
  </si>
  <si>
    <t>Runtimes</t>
  </si>
  <si>
    <t>CCM</t>
  </si>
  <si>
    <t>Average percentage by which partitions missed the desired size</t>
  </si>
  <si>
    <t>K = 4, Graph = PGP, Contraction = 70%, f = [0.7]</t>
  </si>
  <si>
    <t>K = 4, Graph = PGP, Contraction = 70%, f = [0.3]</t>
  </si>
  <si>
    <t>K = 4, Graph = PGP, Contraction = 70%, f = [0.0]</t>
  </si>
  <si>
    <t>K = 4, Graph = PGP, Contraction = 70%, f = [-0.3]</t>
  </si>
  <si>
    <t>K = 4, Graph = PGP, Contraction = 70%, f = [-0.7]</t>
  </si>
  <si>
    <t>Average Results</t>
  </si>
  <si>
    <t>Run Time</t>
  </si>
  <si>
    <t xml:space="preserve">Mean Deviation Percentage from Desired Partition Size </t>
  </si>
  <si>
    <t>Run-time</t>
  </si>
  <si>
    <t>Contiguity</t>
  </si>
  <si>
    <t>K = 4, Graph = Email, Contraction = 70%, f = [0.7]</t>
  </si>
  <si>
    <t>K = 4, Graph = Email, Contraction = 70%, f = [0.3]</t>
  </si>
  <si>
    <t>K = 4, Graph = Email, Contraction = 70%, f = [0.0]</t>
  </si>
  <si>
    <t>K = 4, Graph = Email, Contraction = 70%, f = [-0.7]</t>
  </si>
  <si>
    <t>-7409976534270938897</t>
  </si>
  <si>
    <t>-967943513114465064</t>
  </si>
  <si>
    <t>K = 4, Graph = 4elt, Contraction = 70%, f = [0.7]</t>
  </si>
  <si>
    <t>K = 4, Graph = 4elt, Contraction = 70%, f = [0.3]</t>
  </si>
  <si>
    <t>K = 4, Graph = 4elt, Contraction = 70%, f = [0.0]</t>
  </si>
  <si>
    <t>K = 4, Graph = 4elt, Contraction = 70%, f = [-0.3]</t>
  </si>
  <si>
    <t>-8727884418331750004</t>
  </si>
  <si>
    <t>K = 4, Graph = 4elt, Contraction = 70%, f = [-0.7]</t>
  </si>
  <si>
    <t>K = 2, Graph = PGP, Contraction = 70%, Cardinality Sizes = [4643, 6037] at f = 0.3, CL= 1602</t>
  </si>
  <si>
    <t>K = 4, Graph = PGP, Contraction = 70%, Cardinality Sizes = [1726, 2244, 2917, 3793] at f = 0.3, CL= 1602</t>
  </si>
  <si>
    <t>K = 8, Graph = PGP, Contraction = 70%, Cardinality Sizes = [ 448, 582, 757,  983, 1279, 1662, 2161, 2808] at f = 0.3, CL= 1602</t>
  </si>
  <si>
    <t>K =16, Graph = Email, Contraction = 70%, Cardinality Sizes = [49, 64, 83, 107, 140, 182, 236, 307, 399, 518, 674, 876, 1139, 1481, 1925, 2500] at f = 0.3</t>
  </si>
  <si>
    <t>Average</t>
  </si>
  <si>
    <t>Run Time (S)</t>
  </si>
  <si>
    <t>Percentage of partitions not meeting desired size</t>
  </si>
  <si>
    <t>Number of Connected Components</t>
  </si>
  <si>
    <t>K = 2, Graph = 4elt, Contraction = 70%, Cardinality Sizes = [6785, 8821] at f = 0.3, CL= 2341</t>
  </si>
  <si>
    <t>K =4, Graph = 4elt, Contraction = 70%, Cardinality Sizes = [2522, 3279, 4263, 5542] at f = 0.3, CL= 2341</t>
  </si>
  <si>
    <t>K = 8, Graph = 4elt, Contraction = 70%, Cardinality Sizes = [ 654, 850, 1105, 1437, 1868, 2429, 3157, 4106] at f = 0.3, CL= 1602</t>
  </si>
  <si>
    <t>K =16, Graph = 4elt, Contraction = 70%, Cardinality Sizes = [71, 93, 121, 157, 204, 265, 345, 448, 583, 758, 985, 1280, 1664, 2164, 2813, 3655] at f = 0.3</t>
  </si>
  <si>
    <t>Runtime</t>
  </si>
  <si>
    <t>K = 4, Graph = 4elt, Contraction = 70%, Cardinality Sizes = [2522, 3279, 4263, 5542] at f = 0.3, CL= 2341</t>
  </si>
  <si>
    <t>K = 2, Graph = Email, Contraction = 70%, Cardinality Sizes = [491, 642] at f = 0.3</t>
  </si>
  <si>
    <t>K = 4, Graph = Email, Contraction = 70%, Cardinality Sizes = [183, 238, 309, 403] at f = 0.3</t>
  </si>
  <si>
    <t>K = 8, Graph = Email, Contraction = 70%, Cardinality Sizes = [47, 62, 80, 104, 136, 176, 229, 299] at f = 0.3</t>
  </si>
  <si>
    <t>K =16, Graph = Email, Contraction = 70%, Cardinality Sizes = [5, 7, 9, 11, 15, 19, 25, 33, 42, 55, 71, 93, 121, 157, 204, 266] at f = 0.3</t>
  </si>
  <si>
    <t>K= 2</t>
  </si>
  <si>
    <t>K= 4</t>
  </si>
  <si>
    <t>K= 8</t>
  </si>
  <si>
    <t>K= 16</t>
  </si>
  <si>
    <t>K = 4, Graph = PGP, Contraction = 15%, f = [0.3] Contraction limit = 4539</t>
  </si>
  <si>
    <t>K = 4, Graph = PGP, Contraction = 35%, f = [0.3] Contraction limit = 3471</t>
  </si>
  <si>
    <t>K = 4, Graph = Email, Contraction = 55%, f = [0.3], CONTRACTION_LIMIT = 2403</t>
  </si>
  <si>
    <t>K = 4, Graph = Email, Contraction = 70%, f = [0.3], CONTRACTION_LIMIT = 1602</t>
  </si>
  <si>
    <t>Average Run times</t>
  </si>
  <si>
    <t>Average edge cuts</t>
  </si>
  <si>
    <t>K = 4, Graph = Email, Contraction = 15%, f = [0.3] Contraction limit = 482</t>
  </si>
  <si>
    <t>K = 4, Graph = Email, Contraction = 35%, f = [0.3]</t>
  </si>
  <si>
    <t>K = 4, Graph = Email, Contraction = 55%, f = [0.3], CONTRACTION_LIMIT = 255</t>
  </si>
  <si>
    <t>K = 4, Graph = Email, Contraction = 70%, f = [0.3], CONTRACTION_LIMIT = 170</t>
  </si>
  <si>
    <t xml:space="preserve">Edge Cut </t>
  </si>
  <si>
    <t>K = 4, Graph = Email, Contraction = 15%, f = [0.3]</t>
  </si>
  <si>
    <t>K = 4, Graph = Email, Contraction = 55%, f = [0.3]</t>
  </si>
  <si>
    <t>K = 4, Graph = 4elt, Contraction = 15%, f = [0.3] Contraction limit = 6633</t>
  </si>
  <si>
    <t>K = 4, Graph = 4elt, Contraction = 35%, f = [0.3] Contraction limit = 5072</t>
  </si>
  <si>
    <t>K = 4, Graph = 4elt, Contraction = 55%, f = [0.3], CONTRACTION_LIMIT = 3511</t>
  </si>
  <si>
    <t>K = 4, Graph = 4elt, Contraction = 70%, f = [0.3], CONTRACTION_LIMIT = 2341</t>
  </si>
  <si>
    <t>Average Run time</t>
  </si>
  <si>
    <t>Average Edge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</si>
</sst>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10" fontId="0" fillId="0" borderId="0" xfId="0" applyNumberFormat="1" applyAlignment="1">
      <alignment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49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wrapText="1"/>
    </xf>
    <xf numFmtId="0" fontId="4" fillId="4" borderId="4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4" xfId="0" applyFill="1" applyBorder="1" applyAlignment="1">
      <alignment horizontal="center" wrapText="1"/>
    </xf>
    <xf numFmtId="9" fontId="3" fillId="0" borderId="1" xfId="0" applyNumberFormat="1" applyFont="1" applyBorder="1" applyAlignment="1">
      <alignment horizontal="center" vertical="top"/>
    </xf>
    <xf numFmtId="9" fontId="3" fillId="0" borderId="3" xfId="0" applyNumberFormat="1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Edge Cut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PGP'!$B$54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PGP'!$A$55:$A$58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PGP'!$B$55:$B$58</c:f>
              <c:numCache>
                <c:formatCode>General</c:formatCode>
                <c:ptCount val="4"/>
                <c:pt idx="0">
                  <c:v>4666</c:v>
                </c:pt>
                <c:pt idx="1">
                  <c:v>5044.2</c:v>
                </c:pt>
                <c:pt idx="2">
                  <c:v>4271.2</c:v>
                </c:pt>
                <c:pt idx="3">
                  <c:v>3404.2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E4-4698-8585-A6D1A43CD1A0}"/>
            </c:ext>
          </c:extLst>
        </c:ser>
        <c:ser>
          <c:idx val="1"/>
          <c:order val="1"/>
          <c:tx>
            <c:strRef>
              <c:f>'Experiment 1 PGP'!$C$54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PGP'!$A$55:$A$58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PGP'!$C$55:$C$58</c:f>
              <c:numCache>
                <c:formatCode>General</c:formatCode>
                <c:ptCount val="4"/>
                <c:pt idx="0">
                  <c:v>5071.2</c:v>
                </c:pt>
                <c:pt idx="1">
                  <c:v>5279.4</c:v>
                </c:pt>
                <c:pt idx="2">
                  <c:v>3993.2</c:v>
                </c:pt>
                <c:pt idx="3">
                  <c:v>3678.4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E4-4698-8585-A6D1A43CD1A0}"/>
            </c:ext>
          </c:extLst>
        </c:ser>
        <c:ser>
          <c:idx val="2"/>
          <c:order val="2"/>
          <c:tx>
            <c:strRef>
              <c:f>'Experiment 1 PGP'!$D$54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PGP'!$A$55:$A$58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PGP'!$D$55:$D$58</c:f>
              <c:numCache>
                <c:formatCode>General</c:formatCode>
                <c:ptCount val="4"/>
                <c:pt idx="0">
                  <c:v>8123.2</c:v>
                </c:pt>
                <c:pt idx="1">
                  <c:v>8720.7999999999993</c:v>
                </c:pt>
                <c:pt idx="2">
                  <c:v>8029.8</c:v>
                </c:pt>
                <c:pt idx="3">
                  <c:v>5498.8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E4-4698-8585-A6D1A43CD1A0}"/>
            </c:ext>
          </c:extLst>
        </c:ser>
        <c:ser>
          <c:idx val="3"/>
          <c:order val="3"/>
          <c:tx>
            <c:strRef>
              <c:f>'Experiment 1 PGP'!$E$54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PGP'!$A$55:$A$58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PGP'!$E$55:$E$58</c:f>
              <c:numCache>
                <c:formatCode>General</c:formatCode>
                <c:ptCount val="4"/>
                <c:pt idx="0">
                  <c:v>7834.6</c:v>
                </c:pt>
                <c:pt idx="1">
                  <c:v>7230.4</c:v>
                </c:pt>
                <c:pt idx="2">
                  <c:v>5096.3999999999996</c:v>
                </c:pt>
                <c:pt idx="3">
                  <c:v>4519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E4-4698-8585-A6D1A43CD1A0}"/>
            </c:ext>
          </c:extLst>
        </c:ser>
        <c:ser>
          <c:idx val="4"/>
          <c:order val="4"/>
          <c:tx>
            <c:strRef>
              <c:f>'Experiment 1 PGP'!$F$54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PGP'!$A$55:$A$58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PGP'!$F$55:$F$58</c:f>
              <c:numCache>
                <c:formatCode>General</c:formatCode>
                <c:ptCount val="4"/>
                <c:pt idx="0">
                  <c:v>756.6</c:v>
                </c:pt>
                <c:pt idx="1">
                  <c:v>737.4</c:v>
                </c:pt>
                <c:pt idx="2">
                  <c:v>778</c:v>
                </c:pt>
                <c:pt idx="3">
                  <c:v>761.2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E4-4698-8585-A6D1A43CD1A0}"/>
            </c:ext>
          </c:extLst>
        </c:ser>
        <c:ser>
          <c:idx val="5"/>
          <c:order val="5"/>
          <c:tx>
            <c:strRef>
              <c:f>'Experiment 1 PGP'!$G$54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PGP'!$A$55:$A$58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PGP'!$G$55:$G$58</c:f>
              <c:numCache>
                <c:formatCode>General</c:formatCode>
                <c:ptCount val="4"/>
                <c:pt idx="0">
                  <c:v>1301.4000000000001</c:v>
                </c:pt>
                <c:pt idx="1">
                  <c:v>1301.4000000000001</c:v>
                </c:pt>
                <c:pt idx="2">
                  <c:v>1301.4000000000001</c:v>
                </c:pt>
                <c:pt idx="3">
                  <c:v>1301.4000000000001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E4-4698-8585-A6D1A43CD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5839"/>
        <c:axId val="116738079"/>
      </c:scatterChart>
      <c:valAx>
        <c:axId val="11675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38079"/>
        <c:crosses val="autoZero"/>
        <c:crossBetween val="midCat"/>
      </c:valAx>
      <c:valAx>
        <c:axId val="1167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5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Runtimes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PGP'!$K$51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PGP'!$J$52:$J$55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PGP'!$K$52:$K$55</c:f>
              <c:numCache>
                <c:formatCode>General</c:formatCode>
                <c:ptCount val="4"/>
                <c:pt idx="0">
                  <c:v>316.44279999999998</c:v>
                </c:pt>
                <c:pt idx="1">
                  <c:v>118.27259999999998</c:v>
                </c:pt>
                <c:pt idx="2">
                  <c:v>55.485599999999998</c:v>
                </c:pt>
                <c:pt idx="3">
                  <c:v>34.251999999999995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CA-400A-8FBF-16E189C07856}"/>
            </c:ext>
          </c:extLst>
        </c:ser>
        <c:ser>
          <c:idx val="1"/>
          <c:order val="1"/>
          <c:tx>
            <c:strRef>
              <c:f>'Experiment 1 PGP'!$L$51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PGP'!$J$52:$J$55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PGP'!$L$52:$L$55</c:f>
              <c:numCache>
                <c:formatCode>General</c:formatCode>
                <c:ptCount val="4"/>
                <c:pt idx="0">
                  <c:v>286.65620000000001</c:v>
                </c:pt>
                <c:pt idx="1">
                  <c:v>141.03640000000001</c:v>
                </c:pt>
                <c:pt idx="2">
                  <c:v>58.168799999999997</c:v>
                </c:pt>
                <c:pt idx="3">
                  <c:v>33.905799999999999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CA-400A-8FBF-16E189C07856}"/>
            </c:ext>
          </c:extLst>
        </c:ser>
        <c:ser>
          <c:idx val="2"/>
          <c:order val="2"/>
          <c:tx>
            <c:strRef>
              <c:f>'Experiment 1 PGP'!$M$51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PGP'!$J$52:$J$55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PGP'!$M$52:$M$55</c:f>
              <c:numCache>
                <c:formatCode>General</c:formatCode>
                <c:ptCount val="4"/>
                <c:pt idx="0">
                  <c:v>8.6183999999999994</c:v>
                </c:pt>
                <c:pt idx="1">
                  <c:v>5.8294000000000006</c:v>
                </c:pt>
                <c:pt idx="2">
                  <c:v>5.0909999999999993</c:v>
                </c:pt>
                <c:pt idx="3">
                  <c:v>3.1929999999999996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CA-400A-8FBF-16E189C07856}"/>
            </c:ext>
          </c:extLst>
        </c:ser>
        <c:ser>
          <c:idx val="3"/>
          <c:order val="3"/>
          <c:tx>
            <c:strRef>
              <c:f>'Experiment 1 PGP'!$N$51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PGP'!$J$52:$J$55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PGP'!$N$52:$N$55</c:f>
              <c:numCache>
                <c:formatCode>General</c:formatCode>
                <c:ptCount val="4"/>
                <c:pt idx="0">
                  <c:v>1.3320000000000001</c:v>
                </c:pt>
                <c:pt idx="1">
                  <c:v>1.4893999999999998</c:v>
                </c:pt>
                <c:pt idx="2">
                  <c:v>1.3444</c:v>
                </c:pt>
                <c:pt idx="3">
                  <c:v>1.2250000000000001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CA-400A-8FBF-16E189C07856}"/>
            </c:ext>
          </c:extLst>
        </c:ser>
        <c:ser>
          <c:idx val="4"/>
          <c:order val="4"/>
          <c:tx>
            <c:strRef>
              <c:f>'Experiment 1 PGP'!$O$51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PGP'!$J$52:$J$55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PGP'!$O$52:$O$55</c:f>
              <c:numCache>
                <c:formatCode>General</c:formatCode>
                <c:ptCount val="4"/>
                <c:pt idx="0">
                  <c:v>1.6539999999999999</c:v>
                </c:pt>
                <c:pt idx="1">
                  <c:v>1.7768000000000002</c:v>
                </c:pt>
                <c:pt idx="2">
                  <c:v>1.7276</c:v>
                </c:pt>
                <c:pt idx="3">
                  <c:v>1.6152000000000002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CA-400A-8FBF-16E189C07856}"/>
            </c:ext>
          </c:extLst>
        </c:ser>
        <c:ser>
          <c:idx val="5"/>
          <c:order val="5"/>
          <c:tx>
            <c:strRef>
              <c:f>'Experiment 1 PGP'!$P$51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PGP'!$J$52:$J$55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PGP'!$P$52:$P$55</c:f>
              <c:numCache>
                <c:formatCode>General</c:formatCode>
                <c:ptCount val="4"/>
                <c:pt idx="0">
                  <c:v>0.80980000000000008</c:v>
                </c:pt>
                <c:pt idx="1">
                  <c:v>0.80980000000000008</c:v>
                </c:pt>
                <c:pt idx="2">
                  <c:v>0.80980000000000008</c:v>
                </c:pt>
                <c:pt idx="3">
                  <c:v>0.80980000000000008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CA-400A-8FBF-16E189C07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3359"/>
        <c:axId val="116743839"/>
      </c:scatterChart>
      <c:valAx>
        <c:axId val="1167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3839"/>
        <c:crosses val="autoZero"/>
        <c:crossBetween val="midCat"/>
      </c:valAx>
      <c:valAx>
        <c:axId val="11674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PGP'!$V$81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PGP'!$U$82:$U$85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PGP'!$V$82:$V$85</c:f>
              <c:numCache>
                <c:formatCode>General</c:formatCode>
                <c:ptCount val="4"/>
                <c:pt idx="0">
                  <c:v>0.27960000000000002</c:v>
                </c:pt>
                <c:pt idx="1">
                  <c:v>0.27060000000000006</c:v>
                </c:pt>
                <c:pt idx="2">
                  <c:v>0.26160000000000005</c:v>
                </c:pt>
                <c:pt idx="3">
                  <c:v>0.26463999999999999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AD-4248-9853-25219B9FC737}"/>
            </c:ext>
          </c:extLst>
        </c:ser>
        <c:ser>
          <c:idx val="1"/>
          <c:order val="1"/>
          <c:tx>
            <c:strRef>
              <c:f>'Experiment 1 PGP'!$W$81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PGP'!$U$82:$U$85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PGP'!$W$82:$W$85</c:f>
              <c:numCache>
                <c:formatCode>General</c:formatCode>
                <c:ptCount val="4"/>
                <c:pt idx="0">
                  <c:v>0.27698</c:v>
                </c:pt>
                <c:pt idx="1">
                  <c:v>0.27698</c:v>
                </c:pt>
                <c:pt idx="2">
                  <c:v>0.27698</c:v>
                </c:pt>
                <c:pt idx="3">
                  <c:v>0.27698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AD-4248-9853-25219B9FC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027424"/>
        <c:axId val="1453044224"/>
      </c:scatterChart>
      <c:valAx>
        <c:axId val="145302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44224"/>
        <c:crosses val="autoZero"/>
        <c:crossBetween val="midCat"/>
      </c:valAx>
      <c:valAx>
        <c:axId val="14530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27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PGP'!$V$92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PGP'!$U$93:$U$96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PGP'!$V$93:$V$96</c:f>
              <c:numCache>
                <c:formatCode>0.00%</c:formatCode>
                <c:ptCount val="4"/>
                <c:pt idx="0">
                  <c:v>0.30241659999999998</c:v>
                </c:pt>
                <c:pt idx="1">
                  <c:v>0.30241659999999998</c:v>
                </c:pt>
                <c:pt idx="2">
                  <c:v>0.30241659999999998</c:v>
                </c:pt>
                <c:pt idx="3">
                  <c:v>0.30241659999999998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BD-4200-96B5-9D1FA809EA86}"/>
            </c:ext>
          </c:extLst>
        </c:ser>
        <c:ser>
          <c:idx val="1"/>
          <c:order val="1"/>
          <c:tx>
            <c:strRef>
              <c:f>'Experiment 1 PGP'!$W$92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PGP'!$U$93:$U$96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PGP'!$W$93:$W$96</c:f>
              <c:numCache>
                <c:formatCode>0.00%</c:formatCode>
                <c:ptCount val="4"/>
                <c:pt idx="0">
                  <c:v>0.29810560000000003</c:v>
                </c:pt>
                <c:pt idx="1">
                  <c:v>0.29363600000000001</c:v>
                </c:pt>
                <c:pt idx="2">
                  <c:v>0.28510000000000002</c:v>
                </c:pt>
                <c:pt idx="3">
                  <c:v>0.28794999999999998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BD-4200-96B5-9D1FA809E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5839"/>
        <c:axId val="116758719"/>
      </c:scatterChart>
      <c:valAx>
        <c:axId val="11675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8719"/>
        <c:crosses val="autoZero"/>
        <c:crossBetween val="midCat"/>
      </c:valAx>
      <c:valAx>
        <c:axId val="11675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5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Connected Components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PGP'!$AH$62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PGP'!$AG$63:$AG$66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PGP'!$AH$63:$AH$66</c:f>
              <c:numCache>
                <c:formatCode>General</c:formatCode>
                <c:ptCount val="4"/>
                <c:pt idx="0">
                  <c:v>240.6</c:v>
                </c:pt>
                <c:pt idx="1">
                  <c:v>457.6</c:v>
                </c:pt>
                <c:pt idx="2">
                  <c:v>781.2</c:v>
                </c:pt>
                <c:pt idx="3">
                  <c:v>532.6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2E-4F03-A816-F64B3B385523}"/>
            </c:ext>
          </c:extLst>
        </c:ser>
        <c:ser>
          <c:idx val="1"/>
          <c:order val="1"/>
          <c:tx>
            <c:strRef>
              <c:f>'Experiment 1 PGP'!$AI$62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PGP'!$AG$63:$AG$66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PGP'!$AI$63:$AI$66</c:f>
              <c:numCache>
                <c:formatCode>General</c:formatCode>
                <c:ptCount val="4"/>
                <c:pt idx="0">
                  <c:v>170.6</c:v>
                </c:pt>
                <c:pt idx="1">
                  <c:v>295.8</c:v>
                </c:pt>
                <c:pt idx="2">
                  <c:v>450.2</c:v>
                </c:pt>
                <c:pt idx="3">
                  <c:v>327.8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2E-4F03-A816-F64B3B385523}"/>
            </c:ext>
          </c:extLst>
        </c:ser>
        <c:ser>
          <c:idx val="2"/>
          <c:order val="2"/>
          <c:tx>
            <c:strRef>
              <c:f>'Experiment 1 PGP'!$AJ$62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PGP'!$AG$63:$AG$66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PGP'!$AJ$63:$AJ$66</c:f>
              <c:numCache>
                <c:formatCode>General</c:formatCode>
                <c:ptCount val="4"/>
                <c:pt idx="0">
                  <c:v>1856</c:v>
                </c:pt>
                <c:pt idx="1">
                  <c:v>2536</c:v>
                </c:pt>
                <c:pt idx="2">
                  <c:v>3282.4</c:v>
                </c:pt>
                <c:pt idx="3">
                  <c:v>1606.8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2E-4F03-A816-F64B3B385523}"/>
            </c:ext>
          </c:extLst>
        </c:ser>
        <c:ser>
          <c:idx val="3"/>
          <c:order val="3"/>
          <c:tx>
            <c:strRef>
              <c:f>'Experiment 1 PGP'!$AK$62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PGP'!$AG$63:$AG$66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PGP'!$AK$63:$AK$66</c:f>
              <c:numCache>
                <c:formatCode>General</c:formatCode>
                <c:ptCount val="4"/>
                <c:pt idx="0">
                  <c:v>1660</c:v>
                </c:pt>
                <c:pt idx="1">
                  <c:v>1483.6</c:v>
                </c:pt>
                <c:pt idx="2">
                  <c:v>1511.2</c:v>
                </c:pt>
                <c:pt idx="3">
                  <c:v>1030.2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2E-4F03-A816-F64B3B385523}"/>
            </c:ext>
          </c:extLst>
        </c:ser>
        <c:ser>
          <c:idx val="4"/>
          <c:order val="4"/>
          <c:tx>
            <c:strRef>
              <c:f>'Experiment 1 PGP'!$AL$62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PGP'!$AG$63:$AG$66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PGP'!$AL$63:$AL$66</c:f>
              <c:numCache>
                <c:formatCode>General</c:formatCode>
                <c:ptCount val="4"/>
                <c:pt idx="0">
                  <c:v>10.6</c:v>
                </c:pt>
                <c:pt idx="1">
                  <c:v>23</c:v>
                </c:pt>
                <c:pt idx="2">
                  <c:v>27.6</c:v>
                </c:pt>
                <c:pt idx="3">
                  <c:v>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62E-4F03-A816-F64B3B385523}"/>
            </c:ext>
          </c:extLst>
        </c:ser>
        <c:ser>
          <c:idx val="5"/>
          <c:order val="5"/>
          <c:tx>
            <c:strRef>
              <c:f>'Experiment 1 PGP'!$AM$62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PGP'!$AG$63:$AG$66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PGP'!$AM$63:$AM$66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62E-4F03-A816-F64B3B385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86303"/>
        <c:axId val="112379103"/>
      </c:scatterChart>
      <c:valAx>
        <c:axId val="11238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9103"/>
        <c:crosses val="autoZero"/>
        <c:crossBetween val="midCat"/>
      </c:valAx>
      <c:valAx>
        <c:axId val="11237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6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email'!$B$54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email'!$A$55:$A$58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email'!$B$55:$B$58</c:f>
              <c:numCache>
                <c:formatCode>General</c:formatCode>
                <c:ptCount val="4"/>
                <c:pt idx="0">
                  <c:v>3178.2</c:v>
                </c:pt>
                <c:pt idx="1">
                  <c:v>2938.8</c:v>
                </c:pt>
                <c:pt idx="2">
                  <c:v>2928.8</c:v>
                </c:pt>
                <c:pt idx="3">
                  <c:v>2528.8000000000002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A8-499F-BDAC-F569A25DF04E}"/>
            </c:ext>
          </c:extLst>
        </c:ser>
        <c:ser>
          <c:idx val="1"/>
          <c:order val="1"/>
          <c:tx>
            <c:strRef>
              <c:f>'Experiment 1 email'!$C$54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email'!$A$55:$A$58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email'!$C$55:$C$58</c:f>
              <c:numCache>
                <c:formatCode>General</c:formatCode>
                <c:ptCount val="4"/>
                <c:pt idx="0">
                  <c:v>3062.6</c:v>
                </c:pt>
                <c:pt idx="1">
                  <c:v>2931.8</c:v>
                </c:pt>
                <c:pt idx="2">
                  <c:v>2899.6</c:v>
                </c:pt>
                <c:pt idx="3">
                  <c:v>2579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A8-499F-BDAC-F569A25DF04E}"/>
            </c:ext>
          </c:extLst>
        </c:ser>
        <c:ser>
          <c:idx val="2"/>
          <c:order val="2"/>
          <c:tx>
            <c:strRef>
              <c:f>'Experiment 1 email'!$D$54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email'!$A$55:$A$58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email'!$D$55:$D$58</c:f>
              <c:numCache>
                <c:formatCode>General</c:formatCode>
                <c:ptCount val="4"/>
                <c:pt idx="0">
                  <c:v>3391.2</c:v>
                </c:pt>
                <c:pt idx="1">
                  <c:v>3210</c:v>
                </c:pt>
                <c:pt idx="2">
                  <c:v>3141.2</c:v>
                </c:pt>
                <c:pt idx="3">
                  <c:v>2807.8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A8-499F-BDAC-F569A25DF04E}"/>
            </c:ext>
          </c:extLst>
        </c:ser>
        <c:ser>
          <c:idx val="3"/>
          <c:order val="3"/>
          <c:tx>
            <c:strRef>
              <c:f>'Experiment 1 email'!$E$54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email'!$A$55:$A$58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email'!$E$55:$E$58</c:f>
              <c:numCache>
                <c:formatCode>General</c:formatCode>
                <c:ptCount val="4"/>
                <c:pt idx="0">
                  <c:v>3350.4</c:v>
                </c:pt>
                <c:pt idx="1">
                  <c:v>3173.4</c:v>
                </c:pt>
                <c:pt idx="2">
                  <c:v>3143.2</c:v>
                </c:pt>
                <c:pt idx="3">
                  <c:v>2838.4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5A8-499F-BDAC-F569A25DF04E}"/>
            </c:ext>
          </c:extLst>
        </c:ser>
        <c:ser>
          <c:idx val="4"/>
          <c:order val="4"/>
          <c:tx>
            <c:strRef>
              <c:f>'Experiment 1 email'!$F$54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email'!$A$55:$A$58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email'!$F$55:$F$58</c:f>
              <c:numCache>
                <c:formatCode>General</c:formatCode>
                <c:ptCount val="4"/>
                <c:pt idx="0">
                  <c:v>1366.8</c:v>
                </c:pt>
                <c:pt idx="1">
                  <c:v>1447.6</c:v>
                </c:pt>
                <c:pt idx="2">
                  <c:v>1459.6</c:v>
                </c:pt>
                <c:pt idx="3">
                  <c:v>1445.4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5A8-499F-BDAC-F569A25DF04E}"/>
            </c:ext>
          </c:extLst>
        </c:ser>
        <c:ser>
          <c:idx val="5"/>
          <c:order val="5"/>
          <c:tx>
            <c:strRef>
              <c:f>'Experiment 1 email'!$G$54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email'!$A$55:$A$58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email'!$G$55:$G$58</c:f>
              <c:numCache>
                <c:formatCode>General</c:formatCode>
                <c:ptCount val="4"/>
                <c:pt idx="0">
                  <c:v>1301.4000000000001</c:v>
                </c:pt>
                <c:pt idx="1">
                  <c:v>1301.4000000000001</c:v>
                </c:pt>
                <c:pt idx="2">
                  <c:v>1301.4000000000001</c:v>
                </c:pt>
                <c:pt idx="3">
                  <c:v>1301.4000000000001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5A8-499F-BDAC-F569A25DF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034624"/>
        <c:axId val="1453038464"/>
      </c:scatterChart>
      <c:valAx>
        <c:axId val="145303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38464"/>
        <c:crosses val="autoZero"/>
        <c:crossBetween val="midCat"/>
      </c:valAx>
      <c:valAx>
        <c:axId val="14530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3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Runtimes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email'!$L$61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email'!$K$62:$K$65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email'!$L$62:$L$65</c:f>
              <c:numCache>
                <c:formatCode>General</c:formatCode>
                <c:ptCount val="4"/>
                <c:pt idx="0">
                  <c:v>4.6486000000000001</c:v>
                </c:pt>
                <c:pt idx="1">
                  <c:v>4.1193999999999997</c:v>
                </c:pt>
                <c:pt idx="2">
                  <c:v>3.1993999999999998</c:v>
                </c:pt>
                <c:pt idx="3">
                  <c:v>2.3959999999999999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81-431D-B3EF-FF8C8FE04A53}"/>
            </c:ext>
          </c:extLst>
        </c:ser>
        <c:ser>
          <c:idx val="1"/>
          <c:order val="1"/>
          <c:tx>
            <c:strRef>
              <c:f>'Experiment 1 email'!$M$61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email'!$K$62:$K$65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email'!$M$62:$M$65</c:f>
              <c:numCache>
                <c:formatCode>General</c:formatCode>
                <c:ptCount val="4"/>
                <c:pt idx="0">
                  <c:v>4.6164000000000005</c:v>
                </c:pt>
                <c:pt idx="1">
                  <c:v>4.0656000000000008</c:v>
                </c:pt>
                <c:pt idx="2">
                  <c:v>3.3850000000000002</c:v>
                </c:pt>
                <c:pt idx="3">
                  <c:v>2.5343999999999998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81-431D-B3EF-FF8C8FE04A53}"/>
            </c:ext>
          </c:extLst>
        </c:ser>
        <c:ser>
          <c:idx val="2"/>
          <c:order val="2"/>
          <c:tx>
            <c:strRef>
              <c:f>'Experiment 1 email'!$N$61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email'!$K$62:$K$65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email'!$N$62:$N$65</c:f>
              <c:numCache>
                <c:formatCode>General</c:formatCode>
                <c:ptCount val="4"/>
                <c:pt idx="0">
                  <c:v>0.4556</c:v>
                </c:pt>
                <c:pt idx="1">
                  <c:v>0.47499999999999998</c:v>
                </c:pt>
                <c:pt idx="2">
                  <c:v>0.31480000000000002</c:v>
                </c:pt>
                <c:pt idx="3">
                  <c:v>0.47319999999999995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81-431D-B3EF-FF8C8FE04A53}"/>
            </c:ext>
          </c:extLst>
        </c:ser>
        <c:ser>
          <c:idx val="3"/>
          <c:order val="3"/>
          <c:tx>
            <c:strRef>
              <c:f>'Experiment 1 email'!$O$61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email'!$K$62:$K$65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email'!$O$62:$O$65</c:f>
              <c:numCache>
                <c:formatCode>General</c:formatCode>
                <c:ptCount val="4"/>
                <c:pt idx="0">
                  <c:v>0.3548</c:v>
                </c:pt>
                <c:pt idx="1">
                  <c:v>0.32079999999999997</c:v>
                </c:pt>
                <c:pt idx="2">
                  <c:v>0.2838</c:v>
                </c:pt>
                <c:pt idx="3">
                  <c:v>0.29560000000000003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81-431D-B3EF-FF8C8FE04A53}"/>
            </c:ext>
          </c:extLst>
        </c:ser>
        <c:ser>
          <c:idx val="4"/>
          <c:order val="4"/>
          <c:tx>
            <c:strRef>
              <c:f>'Experiment 1 email'!$P$61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email'!$K$62:$K$65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email'!$P$62:$P$65</c:f>
              <c:numCache>
                <c:formatCode>General</c:formatCode>
                <c:ptCount val="4"/>
                <c:pt idx="0">
                  <c:v>0.90900000000000003</c:v>
                </c:pt>
                <c:pt idx="1">
                  <c:v>0.59920000000000007</c:v>
                </c:pt>
                <c:pt idx="2">
                  <c:v>0.99339999999999995</c:v>
                </c:pt>
                <c:pt idx="3">
                  <c:v>0.74259999999999993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81-431D-B3EF-FF8C8FE04A53}"/>
            </c:ext>
          </c:extLst>
        </c:ser>
        <c:ser>
          <c:idx val="5"/>
          <c:order val="5"/>
          <c:tx>
            <c:strRef>
              <c:f>'Experiment 1 email'!$Q$61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email'!$K$62:$K$65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email'!$Q$62:$Q$65</c:f>
              <c:numCache>
                <c:formatCode>General</c:formatCode>
                <c:ptCount val="4"/>
                <c:pt idx="0">
                  <c:v>0.80980000000000008</c:v>
                </c:pt>
                <c:pt idx="1">
                  <c:v>0.80980000000000008</c:v>
                </c:pt>
                <c:pt idx="2">
                  <c:v>0.80980000000000008</c:v>
                </c:pt>
                <c:pt idx="3">
                  <c:v>0.80980000000000008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81-431D-B3EF-FF8C8FE04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028384"/>
        <c:axId val="1453030304"/>
      </c:scatterChart>
      <c:valAx>
        <c:axId val="145302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30304"/>
        <c:crosses val="autoZero"/>
        <c:crossBetween val="midCat"/>
      </c:valAx>
      <c:valAx>
        <c:axId val="145303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2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email'!$V$81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email'!$U$82:$U$85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email'!$V$82:$V$85</c:f>
              <c:numCache>
                <c:formatCode>General</c:formatCode>
                <c:ptCount val="4"/>
                <c:pt idx="0">
                  <c:v>0.25680000000000003</c:v>
                </c:pt>
                <c:pt idx="1">
                  <c:v>0.25919999999999999</c:v>
                </c:pt>
                <c:pt idx="2">
                  <c:v>0.25759999999999994</c:v>
                </c:pt>
                <c:pt idx="3">
                  <c:v>0.25944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1-4220-9FD8-49E2692423B4}"/>
            </c:ext>
          </c:extLst>
        </c:ser>
        <c:ser>
          <c:idx val="1"/>
          <c:order val="1"/>
          <c:tx>
            <c:strRef>
              <c:f>'Experiment 1 email'!$W$81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email'!$U$82:$U$85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email'!$W$82:$W$85</c:f>
              <c:numCache>
                <c:formatCode>General</c:formatCode>
                <c:ptCount val="4"/>
                <c:pt idx="0">
                  <c:v>0.27698</c:v>
                </c:pt>
                <c:pt idx="1">
                  <c:v>0.27698</c:v>
                </c:pt>
                <c:pt idx="2">
                  <c:v>0.27698</c:v>
                </c:pt>
                <c:pt idx="3">
                  <c:v>0.27698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61-4220-9FD8-49E269242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5359"/>
        <c:axId val="116760159"/>
      </c:scatterChart>
      <c:valAx>
        <c:axId val="1167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0159"/>
        <c:crosses val="autoZero"/>
        <c:crossBetween val="midCat"/>
      </c:valAx>
      <c:valAx>
        <c:axId val="11676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email'!$V$92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email'!$U$93:$U$96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email'!$V$93:$V$96</c:f>
              <c:numCache>
                <c:formatCode>0.00%</c:formatCode>
                <c:ptCount val="4"/>
                <c:pt idx="0">
                  <c:v>0.30241659999999998</c:v>
                </c:pt>
                <c:pt idx="1">
                  <c:v>0.30241659999999998</c:v>
                </c:pt>
                <c:pt idx="2">
                  <c:v>0.30241659999999998</c:v>
                </c:pt>
                <c:pt idx="3">
                  <c:v>0.30241659999999998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EA-4CC8-9E4E-5E3826364F87}"/>
            </c:ext>
          </c:extLst>
        </c:ser>
        <c:ser>
          <c:idx val="1"/>
          <c:order val="1"/>
          <c:tx>
            <c:strRef>
              <c:f>'Experiment 1 email'!$W$92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email'!$U$93:$U$96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email'!$W$93:$W$96</c:f>
              <c:numCache>
                <c:formatCode>0.00%</c:formatCode>
                <c:ptCount val="4"/>
                <c:pt idx="0">
                  <c:v>0.27826459999999997</c:v>
                </c:pt>
                <c:pt idx="1">
                  <c:v>0.28278579999999998</c:v>
                </c:pt>
                <c:pt idx="2">
                  <c:v>0.28114400000000001</c:v>
                </c:pt>
                <c:pt idx="3">
                  <c:v>0.28495399999999999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EA-4CC8-9E4E-5E382636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38559"/>
        <c:axId val="116749119"/>
      </c:scatterChart>
      <c:valAx>
        <c:axId val="11673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9119"/>
        <c:crosses val="autoZero"/>
        <c:crossBetween val="midCat"/>
      </c:valAx>
      <c:valAx>
        <c:axId val="11674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3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email'!$AE$62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email'!$AD$63:$AD$66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email'!$AE$63:$AE$66</c:f>
              <c:numCache>
                <c:formatCode>General</c:formatCode>
                <c:ptCount val="4"/>
                <c:pt idx="0">
                  <c:v>18.8</c:v>
                </c:pt>
                <c:pt idx="1">
                  <c:v>53.2</c:v>
                </c:pt>
                <c:pt idx="2">
                  <c:v>28.2</c:v>
                </c:pt>
                <c:pt idx="3">
                  <c:v>42.6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46-45AC-A947-C1FB817CFF18}"/>
            </c:ext>
          </c:extLst>
        </c:ser>
        <c:ser>
          <c:idx val="1"/>
          <c:order val="1"/>
          <c:tx>
            <c:strRef>
              <c:f>'Experiment 1 email'!$AF$62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email'!$AD$63:$AD$66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email'!$AF$63:$AF$66</c:f>
              <c:numCache>
                <c:formatCode>General</c:formatCode>
                <c:ptCount val="4"/>
                <c:pt idx="0">
                  <c:v>5.2</c:v>
                </c:pt>
                <c:pt idx="1">
                  <c:v>29.6</c:v>
                </c:pt>
                <c:pt idx="2">
                  <c:v>31.8</c:v>
                </c:pt>
                <c:pt idx="3">
                  <c:v>19.2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46-45AC-A947-C1FB817CFF18}"/>
            </c:ext>
          </c:extLst>
        </c:ser>
        <c:ser>
          <c:idx val="2"/>
          <c:order val="2"/>
          <c:tx>
            <c:strRef>
              <c:f>'Experiment 1 email'!$AG$62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email'!$AD$63:$AD$66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email'!$AG$63:$AG$66</c:f>
              <c:numCache>
                <c:formatCode>General</c:formatCode>
                <c:ptCount val="4"/>
                <c:pt idx="0">
                  <c:v>182.6</c:v>
                </c:pt>
                <c:pt idx="1">
                  <c:v>154.80000000000001</c:v>
                </c:pt>
                <c:pt idx="2">
                  <c:v>133.19999999999999</c:v>
                </c:pt>
                <c:pt idx="3">
                  <c:v>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46-45AC-A947-C1FB817CFF18}"/>
            </c:ext>
          </c:extLst>
        </c:ser>
        <c:ser>
          <c:idx val="3"/>
          <c:order val="3"/>
          <c:tx>
            <c:strRef>
              <c:f>'Experiment 1 email'!$AH$62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email'!$AD$63:$AD$66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email'!$AH$63:$AH$66</c:f>
              <c:numCache>
                <c:formatCode>General</c:formatCode>
                <c:ptCount val="4"/>
                <c:pt idx="0">
                  <c:v>172.2</c:v>
                </c:pt>
                <c:pt idx="1">
                  <c:v>166.4</c:v>
                </c:pt>
                <c:pt idx="2">
                  <c:v>147</c:v>
                </c:pt>
                <c:pt idx="3">
                  <c:v>89.2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46-45AC-A947-C1FB817CFF18}"/>
            </c:ext>
          </c:extLst>
        </c:ser>
        <c:ser>
          <c:idx val="4"/>
          <c:order val="4"/>
          <c:tx>
            <c:strRef>
              <c:f>'Experiment 1 email'!$AI$62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email'!$AD$63:$AD$66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email'!$AI$63:$AI$66</c:f>
              <c:numCache>
                <c:formatCode>General</c:formatCode>
                <c:ptCount val="4"/>
                <c:pt idx="0">
                  <c:v>18</c:v>
                </c:pt>
                <c:pt idx="1">
                  <c:v>16.2</c:v>
                </c:pt>
                <c:pt idx="2">
                  <c:v>20.8</c:v>
                </c:pt>
                <c:pt idx="3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46-45AC-A947-C1FB817CFF18}"/>
            </c:ext>
          </c:extLst>
        </c:ser>
        <c:ser>
          <c:idx val="5"/>
          <c:order val="5"/>
          <c:tx>
            <c:strRef>
              <c:f>'Experiment 1 email'!$AJ$62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email'!$AD$63:$AD$66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email'!$AJ$63:$AJ$66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46-45AC-A947-C1FB817CF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61599"/>
        <c:axId val="116746719"/>
      </c:scatterChart>
      <c:valAx>
        <c:axId val="11676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6719"/>
        <c:crosses val="autoZero"/>
        <c:crossBetween val="midCat"/>
      </c:valAx>
      <c:valAx>
        <c:axId val="11674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[1]CCM!$B$80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[1]CCM!$A$81:$A$84</c:f>
              <c:numCache>
                <c:formatCode>General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[1]CCM!$B$81:$B$84</c:f>
              <c:numCache>
                <c:formatCode>General</c:formatCode>
                <c:ptCount val="4"/>
                <c:pt idx="0">
                  <c:v>0.26151999999999997</c:v>
                </c:pt>
                <c:pt idx="1">
                  <c:v>0.25800000000000001</c:v>
                </c:pt>
                <c:pt idx="2">
                  <c:v>0.71839999999999993</c:v>
                </c:pt>
                <c:pt idx="3">
                  <c:v>0.25840000000000007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E8-46C0-90C0-6B5A0A212102}"/>
            </c:ext>
          </c:extLst>
        </c:ser>
        <c:ser>
          <c:idx val="1"/>
          <c:order val="1"/>
          <c:tx>
            <c:strRef>
              <c:f>[1]CCM!$C$80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[1]CCM!$A$81:$A$84</c:f>
              <c:numCache>
                <c:formatCode>General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[1]CCM!$C$81:$C$84</c:f>
              <c:numCache>
                <c:formatCode>General</c:formatCode>
                <c:ptCount val="4"/>
                <c:pt idx="0">
                  <c:v>0.25119999999999998</c:v>
                </c:pt>
                <c:pt idx="1">
                  <c:v>0.25119999999999998</c:v>
                </c:pt>
                <c:pt idx="2">
                  <c:v>0.25119999999999998</c:v>
                </c:pt>
                <c:pt idx="3">
                  <c:v>0.25119999999999998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E8-46C0-90C0-6B5A0A212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259951"/>
        <c:axId val="403075327"/>
      </c:scatterChart>
      <c:valAx>
        <c:axId val="678259951"/>
        <c:scaling>
          <c:orientation val="minMax"/>
          <c:max val="0.70000000000000007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075327"/>
        <c:crosses val="autoZero"/>
        <c:crossBetween val="midCat"/>
      </c:valAx>
      <c:valAx>
        <c:axId val="40307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5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4elt'!$B$54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4elt'!$A$55:$A$58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4elt'!$B$55:$B$58</c:f>
              <c:numCache>
                <c:formatCode>General</c:formatCode>
                <c:ptCount val="4"/>
                <c:pt idx="0">
                  <c:v>1457.6</c:v>
                </c:pt>
                <c:pt idx="1">
                  <c:v>1481.4</c:v>
                </c:pt>
                <c:pt idx="2">
                  <c:v>2512.8000000000002</c:v>
                </c:pt>
                <c:pt idx="3">
                  <c:v>3265.6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F2-4B99-83DB-319A3722DE44}"/>
            </c:ext>
          </c:extLst>
        </c:ser>
        <c:ser>
          <c:idx val="1"/>
          <c:order val="1"/>
          <c:tx>
            <c:strRef>
              <c:f>'Experiment 1 4elt'!$C$54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4elt'!$A$55:$A$58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4elt'!$C$55:$C$58</c:f>
              <c:numCache>
                <c:formatCode>General</c:formatCode>
                <c:ptCount val="4"/>
                <c:pt idx="0">
                  <c:v>1414.4</c:v>
                </c:pt>
                <c:pt idx="1">
                  <c:v>1451.8</c:v>
                </c:pt>
                <c:pt idx="2">
                  <c:v>1330.6</c:v>
                </c:pt>
                <c:pt idx="3">
                  <c:v>1525.6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F2-4B99-83DB-319A3722DE44}"/>
            </c:ext>
          </c:extLst>
        </c:ser>
        <c:ser>
          <c:idx val="2"/>
          <c:order val="2"/>
          <c:tx>
            <c:strRef>
              <c:f>'Experiment 1 4elt'!$D$54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4elt'!$A$55:$A$58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4elt'!$D$55:$D$58</c:f>
              <c:numCache>
                <c:formatCode>General</c:formatCode>
                <c:ptCount val="4"/>
                <c:pt idx="0">
                  <c:v>2942.8</c:v>
                </c:pt>
                <c:pt idx="1">
                  <c:v>3610.6</c:v>
                </c:pt>
                <c:pt idx="2">
                  <c:v>3031.4</c:v>
                </c:pt>
                <c:pt idx="3">
                  <c:v>3334.4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F2-4B99-83DB-319A3722DE44}"/>
            </c:ext>
          </c:extLst>
        </c:ser>
        <c:ser>
          <c:idx val="3"/>
          <c:order val="3"/>
          <c:tx>
            <c:strRef>
              <c:f>'Experiment 1 4elt'!$E$54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4elt'!$A$55:$A$58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4elt'!$E$55:$E$58</c:f>
              <c:numCache>
                <c:formatCode>General</c:formatCode>
                <c:ptCount val="4"/>
                <c:pt idx="0">
                  <c:v>3302</c:v>
                </c:pt>
                <c:pt idx="1">
                  <c:v>3031.4</c:v>
                </c:pt>
                <c:pt idx="2">
                  <c:v>2966.6</c:v>
                </c:pt>
                <c:pt idx="3">
                  <c:v>2905.8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F2-4B99-83DB-319A3722DE44}"/>
            </c:ext>
          </c:extLst>
        </c:ser>
        <c:ser>
          <c:idx val="4"/>
          <c:order val="4"/>
          <c:tx>
            <c:strRef>
              <c:f>'Experiment 1 4elt'!$F$54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4elt'!$A$55:$A$58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4elt'!$F$55:$F$58</c:f>
              <c:numCache>
                <c:formatCode>General</c:formatCode>
                <c:ptCount val="4"/>
                <c:pt idx="0">
                  <c:v>399.2</c:v>
                </c:pt>
                <c:pt idx="1">
                  <c:v>389.2</c:v>
                </c:pt>
                <c:pt idx="2">
                  <c:v>384.4</c:v>
                </c:pt>
                <c:pt idx="3">
                  <c:v>389.2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F2-4B99-83DB-319A3722DE44}"/>
            </c:ext>
          </c:extLst>
        </c:ser>
        <c:ser>
          <c:idx val="5"/>
          <c:order val="5"/>
          <c:tx>
            <c:strRef>
              <c:f>'Experiment 1 4elt'!$G$54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4elt'!$A$55:$A$58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4elt'!$G$55:$G$58</c:f>
              <c:numCache>
                <c:formatCode>General</c:formatCode>
                <c:ptCount val="4"/>
                <c:pt idx="0">
                  <c:v>343.2</c:v>
                </c:pt>
                <c:pt idx="1">
                  <c:v>343.2</c:v>
                </c:pt>
                <c:pt idx="2">
                  <c:v>343.2</c:v>
                </c:pt>
                <c:pt idx="3">
                  <c:v>343.2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F2-4B99-83DB-319A3722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217087"/>
        <c:axId val="1301211327"/>
      </c:scatterChart>
      <c:valAx>
        <c:axId val="130121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211327"/>
        <c:crosses val="autoZero"/>
        <c:crossBetween val="midCat"/>
      </c:valAx>
      <c:valAx>
        <c:axId val="130121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21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Runtimes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4elt'!$K$51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4elt'!$J$52:$J$55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4elt'!$K$52:$K$55</c:f>
              <c:numCache>
                <c:formatCode>General</c:formatCode>
                <c:ptCount val="4"/>
                <c:pt idx="0">
                  <c:v>91.754599999999996</c:v>
                </c:pt>
                <c:pt idx="1">
                  <c:v>132.321</c:v>
                </c:pt>
                <c:pt idx="2">
                  <c:v>73.751800000000003</c:v>
                </c:pt>
                <c:pt idx="3">
                  <c:v>49.319600000000001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CC-4673-B07E-985599B9FAD7}"/>
            </c:ext>
          </c:extLst>
        </c:ser>
        <c:ser>
          <c:idx val="1"/>
          <c:order val="1"/>
          <c:tx>
            <c:strRef>
              <c:f>'Experiment 1 4elt'!$L$51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4elt'!$J$52:$J$55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4elt'!$L$52:$L$55</c:f>
              <c:numCache>
                <c:formatCode>General</c:formatCode>
                <c:ptCount val="4"/>
                <c:pt idx="0">
                  <c:v>84.063200000000009</c:v>
                </c:pt>
                <c:pt idx="1">
                  <c:v>150.34780000000001</c:v>
                </c:pt>
                <c:pt idx="2">
                  <c:v>73.754800000000003</c:v>
                </c:pt>
                <c:pt idx="3">
                  <c:v>48.282200000000003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CC-4673-B07E-985599B9FAD7}"/>
            </c:ext>
          </c:extLst>
        </c:ser>
        <c:ser>
          <c:idx val="2"/>
          <c:order val="2"/>
          <c:tx>
            <c:strRef>
              <c:f>'Experiment 1 4elt'!$M$51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4elt'!$J$52:$J$55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4elt'!$M$52:$M$55</c:f>
              <c:numCache>
                <c:formatCode>General</c:formatCode>
                <c:ptCount val="4"/>
                <c:pt idx="0">
                  <c:v>3.1605999999999996</c:v>
                </c:pt>
                <c:pt idx="1">
                  <c:v>3.1295999999999999</c:v>
                </c:pt>
                <c:pt idx="2">
                  <c:v>5.15</c:v>
                </c:pt>
                <c:pt idx="3">
                  <c:v>4.3275999999999994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CC-4673-B07E-985599B9FAD7}"/>
            </c:ext>
          </c:extLst>
        </c:ser>
        <c:ser>
          <c:idx val="3"/>
          <c:order val="3"/>
          <c:tx>
            <c:strRef>
              <c:f>'Experiment 1 4elt'!$N$51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4elt'!$J$52:$J$55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4elt'!$N$52:$N$55</c:f>
              <c:numCache>
                <c:formatCode>General</c:formatCode>
                <c:ptCount val="4"/>
                <c:pt idx="0">
                  <c:v>2.1703999999999999</c:v>
                </c:pt>
                <c:pt idx="1">
                  <c:v>1.7662</c:v>
                </c:pt>
                <c:pt idx="2">
                  <c:v>1.6038000000000001</c:v>
                </c:pt>
                <c:pt idx="3">
                  <c:v>1.3905999999999998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CC-4673-B07E-985599B9FAD7}"/>
            </c:ext>
          </c:extLst>
        </c:ser>
        <c:ser>
          <c:idx val="4"/>
          <c:order val="4"/>
          <c:tx>
            <c:strRef>
              <c:f>'Experiment 1 4elt'!$O$51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4elt'!$J$52:$J$55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4elt'!$O$52:$O$55</c:f>
              <c:numCache>
                <c:formatCode>General</c:formatCode>
                <c:ptCount val="4"/>
                <c:pt idx="0">
                  <c:v>2.0771999999999999</c:v>
                </c:pt>
                <c:pt idx="1">
                  <c:v>2.3489999999999998</c:v>
                </c:pt>
                <c:pt idx="2">
                  <c:v>2.2884000000000002</c:v>
                </c:pt>
                <c:pt idx="3">
                  <c:v>2.1574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CC-4673-B07E-985599B9FAD7}"/>
            </c:ext>
          </c:extLst>
        </c:ser>
        <c:ser>
          <c:idx val="5"/>
          <c:order val="5"/>
          <c:tx>
            <c:strRef>
              <c:f>'Experiment 1 4elt'!$P$51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4elt'!$J$52:$J$55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4elt'!$P$52:$P$55</c:f>
              <c:numCache>
                <c:formatCode>General</c:formatCode>
                <c:ptCount val="4"/>
                <c:pt idx="0">
                  <c:v>1.0442</c:v>
                </c:pt>
                <c:pt idx="1">
                  <c:v>1.0442</c:v>
                </c:pt>
                <c:pt idx="2">
                  <c:v>1.0442</c:v>
                </c:pt>
                <c:pt idx="3">
                  <c:v>1.0442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CC-4673-B07E-985599B9F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823376"/>
        <c:axId val="1333822416"/>
      </c:scatterChart>
      <c:valAx>
        <c:axId val="133382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22416"/>
        <c:crosses val="autoZero"/>
        <c:crossBetween val="midCat"/>
      </c:valAx>
      <c:valAx>
        <c:axId val="13338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23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eorgia" panose="02040502050405020303" pitchFamily="18" charset="0"/>
                <a:cs typeface="Arial" panose="020B0604020202020204" pitchFamily="34" charset="0"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4elt'!$U$92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4elt'!$T$93:$T$96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4elt'!$U$93:$U$96</c:f>
              <c:numCache>
                <c:formatCode>0.00%</c:formatCode>
                <c:ptCount val="4"/>
                <c:pt idx="0">
                  <c:v>0.27386260000000001</c:v>
                </c:pt>
                <c:pt idx="1">
                  <c:v>0.27386260000000001</c:v>
                </c:pt>
                <c:pt idx="2">
                  <c:v>0.27386260000000001</c:v>
                </c:pt>
                <c:pt idx="3">
                  <c:v>0.30241659999999998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BE-4CB4-8732-F7E8075E6AB6}"/>
            </c:ext>
          </c:extLst>
        </c:ser>
        <c:ser>
          <c:idx val="1"/>
          <c:order val="1"/>
          <c:tx>
            <c:strRef>
              <c:f>'Experiment 1 4elt'!$V$92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4elt'!$T$93:$T$96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4elt'!$V$93:$V$96</c:f>
              <c:numCache>
                <c:formatCode>0.00%</c:formatCode>
                <c:ptCount val="4"/>
                <c:pt idx="0">
                  <c:v>0.28851199999999999</c:v>
                </c:pt>
                <c:pt idx="1">
                  <c:v>0.28378200000000003</c:v>
                </c:pt>
                <c:pt idx="2">
                  <c:v>0.28195599999999998</c:v>
                </c:pt>
                <c:pt idx="3">
                  <c:v>0.28167799999999998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BE-4CB4-8732-F7E8075E6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6239"/>
        <c:axId val="116759679"/>
      </c:scatterChart>
      <c:valAx>
        <c:axId val="11674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9679"/>
        <c:crosses val="autoZero"/>
        <c:crossBetween val="midCat"/>
      </c:valAx>
      <c:valAx>
        <c:axId val="1167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6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1 4elt'!$AF$62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1 4elt'!$AE$63:$AE$66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4elt'!$AF$63:$AF$66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75.599999999999994</c:v>
                </c:pt>
                <c:pt idx="3">
                  <c:v>133.4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D1-41A9-AF5E-7315AFFF53B0}"/>
            </c:ext>
          </c:extLst>
        </c:ser>
        <c:ser>
          <c:idx val="1"/>
          <c:order val="1"/>
          <c:tx>
            <c:strRef>
              <c:f>'Experiment 1 4elt'!$AG$62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1 4elt'!$AE$63:$AE$66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4elt'!$AG$63:$AG$66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D1-41A9-AF5E-7315AFFF53B0}"/>
            </c:ext>
          </c:extLst>
        </c:ser>
        <c:ser>
          <c:idx val="2"/>
          <c:order val="2"/>
          <c:tx>
            <c:strRef>
              <c:f>'Experiment 1 4elt'!$AH$62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1 4elt'!$AE$63:$AE$66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4elt'!$AH$63:$AH$66</c:f>
              <c:numCache>
                <c:formatCode>General</c:formatCode>
                <c:ptCount val="4"/>
                <c:pt idx="0">
                  <c:v>130</c:v>
                </c:pt>
                <c:pt idx="1">
                  <c:v>189</c:v>
                </c:pt>
                <c:pt idx="2">
                  <c:v>107.4</c:v>
                </c:pt>
                <c:pt idx="3">
                  <c:v>131.19999999999999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D1-41A9-AF5E-7315AFFF53B0}"/>
            </c:ext>
          </c:extLst>
        </c:ser>
        <c:ser>
          <c:idx val="3"/>
          <c:order val="3"/>
          <c:tx>
            <c:strRef>
              <c:f>'Experiment 1 4elt'!$AI$62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1 4elt'!$AE$63:$AE$66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4elt'!$AI$63:$AI$66</c:f>
              <c:numCache>
                <c:formatCode>General</c:formatCode>
                <c:ptCount val="4"/>
                <c:pt idx="0">
                  <c:v>139.4</c:v>
                </c:pt>
                <c:pt idx="1">
                  <c:v>126.2</c:v>
                </c:pt>
                <c:pt idx="2">
                  <c:v>128</c:v>
                </c:pt>
                <c:pt idx="3">
                  <c:v>97.2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D1-41A9-AF5E-7315AFFF53B0}"/>
            </c:ext>
          </c:extLst>
        </c:ser>
        <c:ser>
          <c:idx val="4"/>
          <c:order val="4"/>
          <c:tx>
            <c:strRef>
              <c:f>'Experiment 1 4elt'!$AJ$62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1 4elt'!$AE$63:$AE$66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4elt'!$AJ$63:$AJ$66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D1-41A9-AF5E-7315AFFF53B0}"/>
            </c:ext>
          </c:extLst>
        </c:ser>
        <c:ser>
          <c:idx val="5"/>
          <c:order val="5"/>
          <c:tx>
            <c:strRef>
              <c:f>'Experiment 1 4elt'!$AK$62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1 4elt'!$AE$63:$AE$66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'Experiment 1 4elt'!$AK$63:$AK$66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D1-41A9-AF5E-7315AFFF5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053824"/>
        <c:axId val="1453036544"/>
      </c:scatterChart>
      <c:valAx>
        <c:axId val="14530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36544"/>
        <c:crosses val="autoZero"/>
        <c:crossBetween val="midCat"/>
      </c:valAx>
      <c:valAx>
        <c:axId val="14530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053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Edge Cut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PGP'!$B$49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PGP'!$A$50:$A$53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PGP'!$B$50:$B$53</c:f>
              <c:numCache>
                <c:formatCode>General</c:formatCode>
                <c:ptCount val="4"/>
                <c:pt idx="0">
                  <c:v>1948.2</c:v>
                </c:pt>
                <c:pt idx="1">
                  <c:v>3661</c:v>
                </c:pt>
                <c:pt idx="2">
                  <c:v>6429</c:v>
                </c:pt>
                <c:pt idx="3">
                  <c:v>9501.7999999999993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DF-478C-A8A6-BB9AB226C599}"/>
            </c:ext>
          </c:extLst>
        </c:ser>
        <c:ser>
          <c:idx val="1"/>
          <c:order val="1"/>
          <c:tx>
            <c:strRef>
              <c:f>'Experiment 2 PGP'!$C$49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PGP'!$A$50:$A$53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PGP'!$C$50:$C$53</c:f>
              <c:numCache>
                <c:formatCode>General</c:formatCode>
                <c:ptCount val="4"/>
                <c:pt idx="0">
                  <c:v>1814.6</c:v>
                </c:pt>
                <c:pt idx="1">
                  <c:v>3596</c:v>
                </c:pt>
                <c:pt idx="2">
                  <c:v>4442.2</c:v>
                </c:pt>
                <c:pt idx="3">
                  <c:v>6028.8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DF-478C-A8A6-BB9AB226C599}"/>
            </c:ext>
          </c:extLst>
        </c:ser>
        <c:ser>
          <c:idx val="2"/>
          <c:order val="2"/>
          <c:tx>
            <c:strRef>
              <c:f>'Experiment 2 PGP'!$D$49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PGP'!$A$50:$A$53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PGP'!$D$50:$D$53</c:f>
              <c:numCache>
                <c:formatCode>General</c:formatCode>
                <c:ptCount val="4"/>
                <c:pt idx="0">
                  <c:v>3118.4</c:v>
                </c:pt>
                <c:pt idx="1">
                  <c:v>5523.8</c:v>
                </c:pt>
                <c:pt idx="2">
                  <c:v>9039.4</c:v>
                </c:pt>
                <c:pt idx="3">
                  <c:v>9117.4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DF-478C-A8A6-BB9AB226C599}"/>
            </c:ext>
          </c:extLst>
        </c:ser>
        <c:ser>
          <c:idx val="3"/>
          <c:order val="3"/>
          <c:tx>
            <c:strRef>
              <c:f>'Experiment 2 PGP'!$E$49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PGP'!$A$50:$A$53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PGP'!$E$50:$E$53</c:f>
              <c:numCache>
                <c:formatCode>General</c:formatCode>
                <c:ptCount val="4"/>
                <c:pt idx="0">
                  <c:v>3095.2</c:v>
                </c:pt>
                <c:pt idx="1">
                  <c:v>4637.6000000000004</c:v>
                </c:pt>
                <c:pt idx="2">
                  <c:v>5829.4</c:v>
                </c:pt>
                <c:pt idx="3">
                  <c:v>5239.8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DF-478C-A8A6-BB9AB226C599}"/>
            </c:ext>
          </c:extLst>
        </c:ser>
        <c:ser>
          <c:idx val="4"/>
          <c:order val="4"/>
          <c:tx>
            <c:strRef>
              <c:f>'Experiment 2 PGP'!$F$49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PGP'!$A$50:$A$53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PGP'!$F$50:$F$53</c:f>
              <c:numCache>
                <c:formatCode>General</c:formatCode>
                <c:ptCount val="4"/>
                <c:pt idx="0">
                  <c:v>407.6</c:v>
                </c:pt>
                <c:pt idx="1">
                  <c:v>755.4</c:v>
                </c:pt>
                <c:pt idx="2">
                  <c:v>1139.4000000000001</c:v>
                </c:pt>
                <c:pt idx="3">
                  <c:v>1644.2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5DF-478C-A8A6-BB9AB226C599}"/>
            </c:ext>
          </c:extLst>
        </c:ser>
        <c:ser>
          <c:idx val="5"/>
          <c:order val="5"/>
          <c:tx>
            <c:strRef>
              <c:f>'Experiment 2 PGP'!$G$49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PGP'!$A$50:$A$53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PGP'!$G$50:$G$53</c:f>
              <c:numCache>
                <c:formatCode>General</c:formatCode>
                <c:ptCount val="4"/>
                <c:pt idx="0">
                  <c:v>616.6</c:v>
                </c:pt>
                <c:pt idx="1">
                  <c:v>907.6</c:v>
                </c:pt>
                <c:pt idx="2">
                  <c:v>1451.2</c:v>
                </c:pt>
                <c:pt idx="3">
                  <c:v>1724.8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5DF-478C-A8A6-BB9AB226C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2063"/>
        <c:axId val="112368063"/>
      </c:scatterChart>
      <c:valAx>
        <c:axId val="11239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68063"/>
        <c:crosses val="autoZero"/>
        <c:crossBetween val="midCat"/>
      </c:valAx>
      <c:valAx>
        <c:axId val="11236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2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Runtimes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PGP'!$L$55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PGP'!$K$56:$K$59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PGP'!$L$56:$L$59</c:f>
              <c:numCache>
                <c:formatCode>General</c:formatCode>
                <c:ptCount val="4"/>
                <c:pt idx="0">
                  <c:v>18.300000000000004</c:v>
                </c:pt>
                <c:pt idx="1">
                  <c:v>29.569400000000002</c:v>
                </c:pt>
                <c:pt idx="2">
                  <c:v>34.248400000000004</c:v>
                </c:pt>
                <c:pt idx="3">
                  <c:v>51.733399999999996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83-4BDD-AC81-9BDC2042FA9B}"/>
            </c:ext>
          </c:extLst>
        </c:ser>
        <c:ser>
          <c:idx val="1"/>
          <c:order val="1"/>
          <c:tx>
            <c:strRef>
              <c:f>'Experiment 2 PGP'!$M$55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PGP'!$K$56:$K$59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PGP'!$M$56:$M$59</c:f>
              <c:numCache>
                <c:formatCode>General</c:formatCode>
                <c:ptCount val="4"/>
                <c:pt idx="0">
                  <c:v>14.502599999999997</c:v>
                </c:pt>
                <c:pt idx="1">
                  <c:v>27.051200000000001</c:v>
                </c:pt>
                <c:pt idx="2">
                  <c:v>34.892399999999995</c:v>
                </c:pt>
                <c:pt idx="3">
                  <c:v>51.434000000000005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83-4BDD-AC81-9BDC2042FA9B}"/>
            </c:ext>
          </c:extLst>
        </c:ser>
        <c:ser>
          <c:idx val="2"/>
          <c:order val="2"/>
          <c:tx>
            <c:strRef>
              <c:f>'Experiment 2 PGP'!$N$55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PGP'!$K$56:$K$59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PGP'!$N$56:$N$59</c:f>
              <c:numCache>
                <c:formatCode>General</c:formatCode>
                <c:ptCount val="4"/>
                <c:pt idx="0">
                  <c:v>3.2534000000000001</c:v>
                </c:pt>
                <c:pt idx="1">
                  <c:v>3.1550000000000002</c:v>
                </c:pt>
                <c:pt idx="2">
                  <c:v>7.4138000000000002</c:v>
                </c:pt>
                <c:pt idx="3">
                  <c:v>5.6731999999999996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83-4BDD-AC81-9BDC2042FA9B}"/>
            </c:ext>
          </c:extLst>
        </c:ser>
        <c:ser>
          <c:idx val="3"/>
          <c:order val="3"/>
          <c:tx>
            <c:strRef>
              <c:f>'Experiment 2 PGP'!$O$55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PGP'!$K$56:$K$59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PGP'!$O$56:$O$59</c:f>
              <c:numCache>
                <c:formatCode>General</c:formatCode>
                <c:ptCount val="4"/>
                <c:pt idx="0">
                  <c:v>0.9052</c:v>
                </c:pt>
                <c:pt idx="1">
                  <c:v>1.1760000000000002</c:v>
                </c:pt>
                <c:pt idx="2">
                  <c:v>1.2914000000000001</c:v>
                </c:pt>
                <c:pt idx="3">
                  <c:v>1.3940000000000001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83-4BDD-AC81-9BDC2042FA9B}"/>
            </c:ext>
          </c:extLst>
        </c:ser>
        <c:ser>
          <c:idx val="4"/>
          <c:order val="4"/>
          <c:tx>
            <c:strRef>
              <c:f>'Experiment 2 PGP'!$P$55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PGP'!$K$56:$K$59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PGP'!$P$56:$P$59</c:f>
              <c:numCache>
                <c:formatCode>General</c:formatCode>
                <c:ptCount val="4"/>
                <c:pt idx="0">
                  <c:v>0.97059999999999991</c:v>
                </c:pt>
                <c:pt idx="1">
                  <c:v>1.5190000000000001</c:v>
                </c:pt>
                <c:pt idx="2">
                  <c:v>2.0973999999999999</c:v>
                </c:pt>
                <c:pt idx="3">
                  <c:v>2.3555999999999999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83-4BDD-AC81-9BDC2042FA9B}"/>
            </c:ext>
          </c:extLst>
        </c:ser>
        <c:ser>
          <c:idx val="5"/>
          <c:order val="5"/>
          <c:tx>
            <c:strRef>
              <c:f>'Experiment 2 PGP'!$Q$55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PGP'!$K$56:$K$59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PGP'!$Q$56:$Q$59</c:f>
              <c:numCache>
                <c:formatCode>General</c:formatCode>
                <c:ptCount val="4"/>
                <c:pt idx="0">
                  <c:v>1.1941999999999999</c:v>
                </c:pt>
                <c:pt idx="1">
                  <c:v>1.4872000000000001</c:v>
                </c:pt>
                <c:pt idx="2">
                  <c:v>2.1905999999999999</c:v>
                </c:pt>
                <c:pt idx="3">
                  <c:v>2.7353999999999998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283-4BDD-AC81-9BDC2042F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623"/>
        <c:axId val="112372383"/>
      </c:scatterChart>
      <c:valAx>
        <c:axId val="11237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2383"/>
        <c:crosses val="autoZero"/>
        <c:crossBetween val="midCat"/>
      </c:valAx>
      <c:valAx>
        <c:axId val="11237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8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PGP'!$V$89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PGP'!$U$90:$U$93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PGP'!$V$90:$V$93</c:f>
              <c:numCache>
                <c:formatCode>General</c:formatCode>
                <c:ptCount val="4"/>
                <c:pt idx="0">
                  <c:v>0.14455999999999999</c:v>
                </c:pt>
                <c:pt idx="1">
                  <c:v>0.26247999999999999</c:v>
                </c:pt>
                <c:pt idx="2">
                  <c:v>0.49659999999999993</c:v>
                </c:pt>
                <c:pt idx="3">
                  <c:v>0.85804000000000014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02-4996-ABB5-AEE538EA4459}"/>
            </c:ext>
          </c:extLst>
        </c:ser>
        <c:ser>
          <c:idx val="1"/>
          <c:order val="1"/>
          <c:tx>
            <c:strRef>
              <c:f>'Experiment 2 PGP'!$W$89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PGP'!$U$90:$U$93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PGP'!$W$90:$W$93</c:f>
              <c:numCache>
                <c:formatCode>General</c:formatCode>
                <c:ptCount val="4"/>
                <c:pt idx="0">
                  <c:v>0.16008</c:v>
                </c:pt>
                <c:pt idx="1">
                  <c:v>0.27643999999999996</c:v>
                </c:pt>
                <c:pt idx="2">
                  <c:v>0.51260000000000006</c:v>
                </c:pt>
                <c:pt idx="3">
                  <c:v>0.87674000000000007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02-4996-ABB5-AEE538EA4459}"/>
            </c:ext>
          </c:extLst>
        </c:ser>
        <c:ser>
          <c:idx val="2"/>
          <c:order val="2"/>
          <c:tx>
            <c:strRef>
              <c:f>'Experiment 2 PGP'!$X$89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PGP'!$U$90:$U$93</c:f>
              <c:numCache>
                <c:formatCode>General</c:formatCode>
                <c:ptCount val="4"/>
                <c:pt idx="0" formatCode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PGP'!$X$90:$X$93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6.0600000000000003E-3</c:v>
                </c:pt>
                <c:pt idx="3">
                  <c:v>6.1968000000000002E-2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02-4996-ABB5-AEE538EA4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3823"/>
        <c:axId val="112379583"/>
      </c:scatterChart>
      <c:valAx>
        <c:axId val="11237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9583"/>
        <c:crosses val="autoZero"/>
        <c:crossBetween val="midCat"/>
      </c:valAx>
      <c:valAx>
        <c:axId val="11237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3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PGP'!$V$97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PGP'!$U$98:$U$101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PGP'!$V$98:$V$101</c:f>
              <c:numCache>
                <c:formatCode>0.00%</c:formatCode>
                <c:ptCount val="4"/>
                <c:pt idx="0">
                  <c:v>0.163248</c:v>
                </c:pt>
                <c:pt idx="1">
                  <c:v>0.28891600000000001</c:v>
                </c:pt>
                <c:pt idx="2">
                  <c:v>0.72233400000000003</c:v>
                </c:pt>
                <c:pt idx="3">
                  <c:v>3.019406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AD-4F9B-A493-E17086299511}"/>
            </c:ext>
          </c:extLst>
        </c:ser>
        <c:ser>
          <c:idx val="1"/>
          <c:order val="1"/>
          <c:tx>
            <c:strRef>
              <c:f>'Experiment 2 PGP'!$W$97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PGP'!$U$98:$U$101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PGP'!$W$98:$W$101</c:f>
              <c:numCache>
                <c:formatCode>0.00%</c:formatCode>
                <c:ptCount val="4"/>
                <c:pt idx="0">
                  <c:v>0.14726</c:v>
                </c:pt>
                <c:pt idx="1">
                  <c:v>0.285495</c:v>
                </c:pt>
                <c:pt idx="2">
                  <c:v>0.69786200000000009</c:v>
                </c:pt>
                <c:pt idx="3">
                  <c:v>2.9436909999999998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AD-4F9B-A493-E17086299511}"/>
            </c:ext>
          </c:extLst>
        </c:ser>
        <c:ser>
          <c:idx val="2"/>
          <c:order val="2"/>
          <c:tx>
            <c:strRef>
              <c:f>'Experiment 2 PGP'!$X$97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PGP'!$U$98:$U$101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PGP'!$X$98:$X$101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1.8927999999999997E-2</c:v>
                </c:pt>
                <c:pt idx="3">
                  <c:v>0.27743780000000001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AD-4F9B-A493-E1708629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5359"/>
        <c:axId val="116758239"/>
      </c:scatterChart>
      <c:valAx>
        <c:axId val="1167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8239"/>
        <c:crosses val="autoZero"/>
        <c:crossBetween val="midCat"/>
      </c:valAx>
      <c:valAx>
        <c:axId val="11675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PGP'!$AF$50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PGP'!$AE$51:$AE$54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PGP'!$AF$51:$AF$54</c:f>
              <c:numCache>
                <c:formatCode>General</c:formatCode>
                <c:ptCount val="4"/>
                <c:pt idx="0">
                  <c:v>34.799999999999997</c:v>
                </c:pt>
                <c:pt idx="1">
                  <c:v>326.2</c:v>
                </c:pt>
                <c:pt idx="2">
                  <c:v>1866.8</c:v>
                </c:pt>
                <c:pt idx="3">
                  <c:v>3757.4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1C-426D-AFB4-72DE2BB6F341}"/>
            </c:ext>
          </c:extLst>
        </c:ser>
        <c:ser>
          <c:idx val="1"/>
          <c:order val="1"/>
          <c:tx>
            <c:strRef>
              <c:f>'Experiment 2 PGP'!$AG$50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PGP'!$AE$51:$AE$54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PGP'!$AG$51:$AG$54</c:f>
              <c:numCache>
                <c:formatCode>General</c:formatCode>
                <c:ptCount val="4"/>
                <c:pt idx="0">
                  <c:v>43</c:v>
                </c:pt>
                <c:pt idx="1">
                  <c:v>483.4</c:v>
                </c:pt>
                <c:pt idx="2">
                  <c:v>550.79999999999995</c:v>
                </c:pt>
                <c:pt idx="3">
                  <c:v>1364.4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1C-426D-AFB4-72DE2BB6F341}"/>
            </c:ext>
          </c:extLst>
        </c:ser>
        <c:ser>
          <c:idx val="2"/>
          <c:order val="2"/>
          <c:tx>
            <c:strRef>
              <c:f>'Experiment 2 PGP'!$AH$50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PGP'!$AE$51:$AE$54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PGP'!$AH$51:$AH$54</c:f>
              <c:numCache>
                <c:formatCode>General</c:formatCode>
                <c:ptCount val="4"/>
                <c:pt idx="0">
                  <c:v>851.6</c:v>
                </c:pt>
                <c:pt idx="1">
                  <c:v>1665.4</c:v>
                </c:pt>
                <c:pt idx="2">
                  <c:v>3395.2</c:v>
                </c:pt>
                <c:pt idx="3">
                  <c:v>3685.4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1C-426D-AFB4-72DE2BB6F341}"/>
            </c:ext>
          </c:extLst>
        </c:ser>
        <c:ser>
          <c:idx val="3"/>
          <c:order val="3"/>
          <c:tx>
            <c:strRef>
              <c:f>'Experiment 2 PGP'!$AI$50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PGP'!$AE$51:$AE$54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PGP'!$AI$51:$AI$54</c:f>
              <c:numCache>
                <c:formatCode>General</c:formatCode>
                <c:ptCount val="4"/>
                <c:pt idx="0">
                  <c:v>846.6</c:v>
                </c:pt>
                <c:pt idx="1">
                  <c:v>1030.5999999999999</c:v>
                </c:pt>
                <c:pt idx="2">
                  <c:v>1175.8</c:v>
                </c:pt>
                <c:pt idx="3">
                  <c:v>1111.4000000000001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1C-426D-AFB4-72DE2BB6F341}"/>
            </c:ext>
          </c:extLst>
        </c:ser>
        <c:ser>
          <c:idx val="4"/>
          <c:order val="4"/>
          <c:tx>
            <c:strRef>
              <c:f>'Experiment 2 PGP'!$AJ$50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PGP'!$AE$51:$AE$54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PGP'!$AJ$51:$AJ$54</c:f>
              <c:numCache>
                <c:formatCode>General</c:formatCode>
                <c:ptCount val="4"/>
                <c:pt idx="0">
                  <c:v>5.2</c:v>
                </c:pt>
                <c:pt idx="1">
                  <c:v>18</c:v>
                </c:pt>
                <c:pt idx="2">
                  <c:v>46.4</c:v>
                </c:pt>
                <c:pt idx="3">
                  <c:v>94.6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1C-426D-AFB4-72DE2BB6F341}"/>
            </c:ext>
          </c:extLst>
        </c:ser>
        <c:ser>
          <c:idx val="5"/>
          <c:order val="5"/>
          <c:tx>
            <c:strRef>
              <c:f>'Experiment 2 PGP'!$AK$50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PGP'!$AE$51:$AE$54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PGP'!$AK$51:$AK$54</c:f>
              <c:numCache>
                <c:formatCode>General</c:formatCode>
                <c:ptCount val="4"/>
                <c:pt idx="0">
                  <c:v>53</c:v>
                </c:pt>
                <c:pt idx="1">
                  <c:v>44</c:v>
                </c:pt>
                <c:pt idx="2">
                  <c:v>201.2</c:v>
                </c:pt>
                <c:pt idx="3">
                  <c:v>113.2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1C-426D-AFB4-72DE2BB6F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23359"/>
        <c:axId val="124325759"/>
      </c:scatterChart>
      <c:valAx>
        <c:axId val="12432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5759"/>
        <c:crosses val="autoZero"/>
        <c:crossBetween val="midCat"/>
      </c:valAx>
      <c:valAx>
        <c:axId val="12432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Edge Cut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4elt'!$B$55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4elt'!$A$56:$A$59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4elt'!$B$56:$B$59</c:f>
              <c:numCache>
                <c:formatCode>General</c:formatCode>
                <c:ptCount val="4"/>
                <c:pt idx="0">
                  <c:v>752.8</c:v>
                </c:pt>
                <c:pt idx="1">
                  <c:v>2553.1999999999998</c:v>
                </c:pt>
                <c:pt idx="2">
                  <c:v>4934.8</c:v>
                </c:pt>
                <c:pt idx="3">
                  <c:v>8744.2000000000007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54-46AC-9DAD-A1FFC65C0791}"/>
            </c:ext>
          </c:extLst>
        </c:ser>
        <c:ser>
          <c:idx val="1"/>
          <c:order val="1"/>
          <c:tx>
            <c:strRef>
              <c:f>'Experiment 2 4elt'!$C$55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4elt'!$A$56:$A$59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4elt'!$C$56:$C$59</c:f>
              <c:numCache>
                <c:formatCode>General</c:formatCode>
                <c:ptCount val="4"/>
                <c:pt idx="0">
                  <c:v>923.8</c:v>
                </c:pt>
                <c:pt idx="1">
                  <c:v>1515.2</c:v>
                </c:pt>
                <c:pt idx="2">
                  <c:v>2200.1999999999998</c:v>
                </c:pt>
                <c:pt idx="3">
                  <c:v>3190.8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54-46AC-9DAD-A1FFC65C0791}"/>
            </c:ext>
          </c:extLst>
        </c:ser>
        <c:ser>
          <c:idx val="2"/>
          <c:order val="2"/>
          <c:tx>
            <c:strRef>
              <c:f>'Experiment 2 4elt'!$D$55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4elt'!$A$56:$A$59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4elt'!$D$56:$D$59</c:f>
              <c:numCache>
                <c:formatCode>General</c:formatCode>
                <c:ptCount val="4"/>
                <c:pt idx="0">
                  <c:v>2134.1999999999998</c:v>
                </c:pt>
                <c:pt idx="1">
                  <c:v>2828.6</c:v>
                </c:pt>
                <c:pt idx="2">
                  <c:v>3684.4</c:v>
                </c:pt>
                <c:pt idx="3">
                  <c:v>4301.3999999999996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54-46AC-9DAD-A1FFC65C0791}"/>
            </c:ext>
          </c:extLst>
        </c:ser>
        <c:ser>
          <c:idx val="3"/>
          <c:order val="3"/>
          <c:tx>
            <c:strRef>
              <c:f>'Experiment 2 4elt'!$E$55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4elt'!$A$56:$A$59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4elt'!$E$56:$E$59</c:f>
              <c:numCache>
                <c:formatCode>General</c:formatCode>
                <c:ptCount val="4"/>
                <c:pt idx="0">
                  <c:v>2128.8000000000002</c:v>
                </c:pt>
                <c:pt idx="1">
                  <c:v>2738.4</c:v>
                </c:pt>
                <c:pt idx="2">
                  <c:v>3632.2</c:v>
                </c:pt>
                <c:pt idx="3">
                  <c:v>4139.6000000000004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54-46AC-9DAD-A1FFC65C0791}"/>
            </c:ext>
          </c:extLst>
        </c:ser>
        <c:ser>
          <c:idx val="4"/>
          <c:order val="4"/>
          <c:tx>
            <c:strRef>
              <c:f>'Experiment 2 4elt'!$F$55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4elt'!$A$56:$A$59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4elt'!$F$56:$F$59</c:f>
              <c:numCache>
                <c:formatCode>General</c:formatCode>
                <c:ptCount val="4"/>
                <c:pt idx="0">
                  <c:v>167.4</c:v>
                </c:pt>
                <c:pt idx="1">
                  <c:v>397</c:v>
                </c:pt>
                <c:pt idx="2">
                  <c:v>648.6</c:v>
                </c:pt>
                <c:pt idx="3">
                  <c:v>1161.5999999999999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54-46AC-9DAD-A1FFC65C0791}"/>
            </c:ext>
          </c:extLst>
        </c:ser>
        <c:ser>
          <c:idx val="5"/>
          <c:order val="5"/>
          <c:tx>
            <c:strRef>
              <c:f>'Experiment 2 4elt'!$G$55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4elt'!$A$56:$A$59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4elt'!$G$56:$G$59</c:f>
              <c:numCache>
                <c:formatCode>General</c:formatCode>
                <c:ptCount val="4"/>
                <c:pt idx="0">
                  <c:v>138.4</c:v>
                </c:pt>
                <c:pt idx="1">
                  <c:v>345.2</c:v>
                </c:pt>
                <c:pt idx="2">
                  <c:v>604.6</c:v>
                </c:pt>
                <c:pt idx="3">
                  <c:v>1049.2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54-46AC-9DAD-A1FFC65C0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23359"/>
        <c:axId val="124310399"/>
      </c:scatterChart>
      <c:valAx>
        <c:axId val="12432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0399"/>
        <c:crosses val="autoZero"/>
        <c:crossBetween val="midCat"/>
      </c:valAx>
      <c:valAx>
        <c:axId val="1243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3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Runtimes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4elt'!$L$55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4elt'!$K$56:$K$59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4elt'!$L$56:$L$59</c:f>
              <c:numCache>
                <c:formatCode>General</c:formatCode>
                <c:ptCount val="4"/>
                <c:pt idx="0">
                  <c:v>8.1584000000000003</c:v>
                </c:pt>
                <c:pt idx="1">
                  <c:v>41.362200000000001</c:v>
                </c:pt>
                <c:pt idx="2">
                  <c:v>57.467799999999997</c:v>
                </c:pt>
                <c:pt idx="3">
                  <c:v>56.690800000000003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96-4102-85BA-47481DA8FD64}"/>
            </c:ext>
          </c:extLst>
        </c:ser>
        <c:ser>
          <c:idx val="1"/>
          <c:order val="1"/>
          <c:tx>
            <c:strRef>
              <c:f>'Experiment 2 4elt'!$M$55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4elt'!$K$56:$K$59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4elt'!$M$56:$M$59</c:f>
              <c:numCache>
                <c:formatCode>General</c:formatCode>
                <c:ptCount val="4"/>
                <c:pt idx="0">
                  <c:v>8.2326000000000015</c:v>
                </c:pt>
                <c:pt idx="1">
                  <c:v>39.098399999999998</c:v>
                </c:pt>
                <c:pt idx="2">
                  <c:v>52.676400000000001</c:v>
                </c:pt>
                <c:pt idx="3">
                  <c:v>55.56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96-4102-85BA-47481DA8FD64}"/>
            </c:ext>
          </c:extLst>
        </c:ser>
        <c:ser>
          <c:idx val="2"/>
          <c:order val="2"/>
          <c:tx>
            <c:strRef>
              <c:f>'Experiment 2 4elt'!$N$55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4elt'!$K$56:$K$59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4elt'!$N$56:$N$59</c:f>
              <c:numCache>
                <c:formatCode>General</c:formatCode>
                <c:ptCount val="4"/>
                <c:pt idx="0">
                  <c:v>4.2061999999999999</c:v>
                </c:pt>
                <c:pt idx="1">
                  <c:v>3.0251999999999999</c:v>
                </c:pt>
                <c:pt idx="2">
                  <c:v>3.7552000000000008</c:v>
                </c:pt>
                <c:pt idx="3">
                  <c:v>4.0629999999999997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96-4102-85BA-47481DA8FD64}"/>
            </c:ext>
          </c:extLst>
        </c:ser>
        <c:ser>
          <c:idx val="3"/>
          <c:order val="3"/>
          <c:tx>
            <c:strRef>
              <c:f>'Experiment 2 4elt'!$O$55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4elt'!$K$56:$K$59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4elt'!$O$56:$O$59</c:f>
              <c:numCache>
                <c:formatCode>General</c:formatCode>
                <c:ptCount val="4"/>
                <c:pt idx="0">
                  <c:v>0.88080000000000003</c:v>
                </c:pt>
                <c:pt idx="1">
                  <c:v>1.2345999999999999</c:v>
                </c:pt>
                <c:pt idx="2">
                  <c:v>1.1858</c:v>
                </c:pt>
                <c:pt idx="3">
                  <c:v>1.3602000000000001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96-4102-85BA-47481DA8FD64}"/>
            </c:ext>
          </c:extLst>
        </c:ser>
        <c:ser>
          <c:idx val="4"/>
          <c:order val="4"/>
          <c:tx>
            <c:strRef>
              <c:f>'Experiment 2 4elt'!$P$55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4elt'!$K$56:$K$59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4elt'!$P$56:$P$59</c:f>
              <c:numCache>
                <c:formatCode>General</c:formatCode>
                <c:ptCount val="4"/>
                <c:pt idx="0">
                  <c:v>1.4762</c:v>
                </c:pt>
                <c:pt idx="1">
                  <c:v>2.0864000000000003</c:v>
                </c:pt>
                <c:pt idx="2">
                  <c:v>2.1432000000000002</c:v>
                </c:pt>
                <c:pt idx="3">
                  <c:v>2.9089999999999998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996-4102-85BA-47481DA8FD64}"/>
            </c:ext>
          </c:extLst>
        </c:ser>
        <c:ser>
          <c:idx val="5"/>
          <c:order val="5"/>
          <c:tx>
            <c:strRef>
              <c:f>'Experiment 2 4elt'!$Q$55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4elt'!$K$56:$K$59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4elt'!$Q$56:$Q$59</c:f>
              <c:numCache>
                <c:formatCode>General</c:formatCode>
                <c:ptCount val="4"/>
                <c:pt idx="0">
                  <c:v>0.98839999999999983</c:v>
                </c:pt>
                <c:pt idx="1">
                  <c:v>1.0564</c:v>
                </c:pt>
                <c:pt idx="2">
                  <c:v>1.2193999999999998</c:v>
                </c:pt>
                <c:pt idx="3">
                  <c:v>1.6084000000000001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996-4102-85BA-47481DA8F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15199"/>
        <c:axId val="124327199"/>
      </c:scatterChart>
      <c:valAx>
        <c:axId val="124315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7199"/>
        <c:crosses val="autoZero"/>
        <c:crossBetween val="midCat"/>
      </c:valAx>
      <c:valAx>
        <c:axId val="12432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5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4elt'!$V$89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4elt'!$U$90:$U$93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4elt'!$V$90:$V$93</c:f>
              <c:numCache>
                <c:formatCode>General</c:formatCode>
                <c:ptCount val="4"/>
                <c:pt idx="0">
                  <c:v>0.14179999999999998</c:v>
                </c:pt>
                <c:pt idx="1">
                  <c:v>0.25760000000000005</c:v>
                </c:pt>
                <c:pt idx="2">
                  <c:v>0.49719999999999998</c:v>
                </c:pt>
                <c:pt idx="3">
                  <c:v>0.85939999999999994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82-4519-AEFF-89F56A85C079}"/>
            </c:ext>
          </c:extLst>
        </c:ser>
        <c:ser>
          <c:idx val="1"/>
          <c:order val="1"/>
          <c:tx>
            <c:strRef>
              <c:f>'Experiment 2 4elt'!$W$89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4elt'!$U$90:$U$93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4elt'!$W$90:$W$93</c:f>
              <c:numCache>
                <c:formatCode>General</c:formatCode>
                <c:ptCount val="4"/>
                <c:pt idx="0">
                  <c:v>0.1288</c:v>
                </c:pt>
                <c:pt idx="1">
                  <c:v>0.25599999999999995</c:v>
                </c:pt>
                <c:pt idx="2">
                  <c:v>0.49539999999999995</c:v>
                </c:pt>
                <c:pt idx="3">
                  <c:v>0.86612000000000011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82-4519-AEFF-89F56A85C079}"/>
            </c:ext>
          </c:extLst>
        </c:ser>
        <c:ser>
          <c:idx val="2"/>
          <c:order val="2"/>
          <c:tx>
            <c:strRef>
              <c:f>'Experiment 2 4elt'!$X$89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4elt'!$U$90:$U$93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4elt'!$X$90:$X$93</c:f>
              <c:numCache>
                <c:formatCode>General</c:formatCode>
                <c:ptCount val="4"/>
                <c:pt idx="0">
                  <c:v>0</c:v>
                </c:pt>
                <c:pt idx="1">
                  <c:v>2.7840000000000004E-2</c:v>
                </c:pt>
                <c:pt idx="2">
                  <c:v>4.9798000000000002E-2</c:v>
                </c:pt>
                <c:pt idx="3">
                  <c:v>0.11073999999999999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82-4519-AEFF-89F56A85C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18559"/>
        <c:axId val="124321439"/>
      </c:scatterChart>
      <c:valAx>
        <c:axId val="12431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21439"/>
        <c:crosses val="autoZero"/>
        <c:crossBetween val="midCat"/>
      </c:valAx>
      <c:valAx>
        <c:axId val="1243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4elt'!$V$97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4elt'!$U$98:$U$101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4elt'!$V$98:$V$101</c:f>
              <c:numCache>
                <c:formatCode>0.00%</c:formatCode>
                <c:ptCount val="4"/>
                <c:pt idx="0">
                  <c:v>0.13449800000000001</c:v>
                </c:pt>
                <c:pt idx="1">
                  <c:v>0.27923600000000004</c:v>
                </c:pt>
                <c:pt idx="2">
                  <c:v>0.6985380000000001</c:v>
                </c:pt>
                <c:pt idx="3">
                  <c:v>2.999072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92-449B-9DE4-456DA8C32076}"/>
            </c:ext>
          </c:extLst>
        </c:ser>
        <c:ser>
          <c:idx val="1"/>
          <c:order val="1"/>
          <c:tx>
            <c:strRef>
              <c:f>'Experiment 2 4elt'!$W$97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4elt'!$U$98:$U$101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4elt'!$W$98:$W$101</c:f>
              <c:numCache>
                <c:formatCode>0.00%</c:formatCode>
                <c:ptCount val="4"/>
                <c:pt idx="0">
                  <c:v>0.14445</c:v>
                </c:pt>
                <c:pt idx="1">
                  <c:v>0.284551</c:v>
                </c:pt>
                <c:pt idx="2">
                  <c:v>0.70256799999999997</c:v>
                </c:pt>
                <c:pt idx="3">
                  <c:v>2.973938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92-449B-9DE4-456DA8C32076}"/>
            </c:ext>
          </c:extLst>
        </c:ser>
        <c:ser>
          <c:idx val="2"/>
          <c:order val="2"/>
          <c:tx>
            <c:strRef>
              <c:f>'Experiment 2 4elt'!$X$97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4elt'!$U$98:$U$101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4elt'!$X$98:$X$101</c:f>
              <c:numCache>
                <c:formatCode>0.00%</c:formatCode>
                <c:ptCount val="4"/>
                <c:pt idx="0">
                  <c:v>0</c:v>
                </c:pt>
                <c:pt idx="1">
                  <c:v>4.6644000000000005E-2</c:v>
                </c:pt>
                <c:pt idx="2">
                  <c:v>6.8136599999999992E-2</c:v>
                </c:pt>
                <c:pt idx="3">
                  <c:v>0.45228199999999996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92-449B-9DE4-456DA8C32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470751"/>
        <c:axId val="1296478911"/>
      </c:scatterChart>
      <c:valAx>
        <c:axId val="12964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78911"/>
        <c:crosses val="autoZero"/>
        <c:crossBetween val="midCat"/>
      </c:valAx>
      <c:valAx>
        <c:axId val="129647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7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4elt'!$AF$50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4elt'!$AE$51:$AE$54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4elt'!$AF$51:$AF$54</c:f>
              <c:numCache>
                <c:formatCode>General</c:formatCode>
                <c:ptCount val="4"/>
                <c:pt idx="0">
                  <c:v>1</c:v>
                </c:pt>
                <c:pt idx="1">
                  <c:v>91</c:v>
                </c:pt>
                <c:pt idx="2">
                  <c:v>360.6</c:v>
                </c:pt>
                <c:pt idx="3">
                  <c:v>864.8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73-4532-9FE3-4A45248613C2}"/>
            </c:ext>
          </c:extLst>
        </c:ser>
        <c:ser>
          <c:idx val="1"/>
          <c:order val="1"/>
          <c:tx>
            <c:strRef>
              <c:f>'Experiment 2 4elt'!$AG$50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4elt'!$AE$51:$AE$54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4elt'!$AG$51:$AG$54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11.6</c:v>
                </c:pt>
                <c:pt idx="3">
                  <c:v>66.2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73-4532-9FE3-4A45248613C2}"/>
            </c:ext>
          </c:extLst>
        </c:ser>
        <c:ser>
          <c:idx val="2"/>
          <c:order val="2"/>
          <c:tx>
            <c:strRef>
              <c:f>'Experiment 2 4elt'!$AH$50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4elt'!$AE$51:$AE$54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4elt'!$AH$51:$AH$54</c:f>
              <c:numCache>
                <c:formatCode>General</c:formatCode>
                <c:ptCount val="4"/>
                <c:pt idx="0">
                  <c:v>71.2</c:v>
                </c:pt>
                <c:pt idx="1">
                  <c:v>96.6</c:v>
                </c:pt>
                <c:pt idx="2">
                  <c:v>151</c:v>
                </c:pt>
                <c:pt idx="3">
                  <c:v>324.2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73-4532-9FE3-4A45248613C2}"/>
            </c:ext>
          </c:extLst>
        </c:ser>
        <c:ser>
          <c:idx val="3"/>
          <c:order val="3"/>
          <c:tx>
            <c:strRef>
              <c:f>'Experiment 2 4elt'!$AI$50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4elt'!$AE$51:$AE$54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4elt'!$AI$51:$AI$54</c:f>
              <c:numCache>
                <c:formatCode>General</c:formatCode>
                <c:ptCount val="4"/>
                <c:pt idx="0">
                  <c:v>78.400000000000006</c:v>
                </c:pt>
                <c:pt idx="1">
                  <c:v>89.4</c:v>
                </c:pt>
                <c:pt idx="2">
                  <c:v>134.19999999999999</c:v>
                </c:pt>
                <c:pt idx="3">
                  <c:v>142.4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73-4532-9FE3-4A45248613C2}"/>
            </c:ext>
          </c:extLst>
        </c:ser>
        <c:ser>
          <c:idx val="4"/>
          <c:order val="4"/>
          <c:tx>
            <c:strRef>
              <c:f>'Experiment 2 4elt'!$AJ$50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4elt'!$AE$51:$AE$54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4elt'!$AJ$51:$AJ$54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8.4</c:v>
                </c:pt>
                <c:pt idx="3">
                  <c:v>18.2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73-4532-9FE3-4A45248613C2}"/>
            </c:ext>
          </c:extLst>
        </c:ser>
        <c:ser>
          <c:idx val="5"/>
          <c:order val="5"/>
          <c:tx>
            <c:strRef>
              <c:f>'Experiment 2 4elt'!$AK$50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4elt'!$AE$51:$AE$54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4elt'!$AK$51:$AK$54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8.1999999999999993</c:v>
                </c:pt>
                <c:pt idx="3">
                  <c:v>16.8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B73-4532-9FE3-4A4524861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1583"/>
        <c:axId val="112386783"/>
      </c:scatterChart>
      <c:valAx>
        <c:axId val="11239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6783"/>
        <c:crosses val="autoZero"/>
        <c:crossBetween val="midCat"/>
      </c:valAx>
      <c:valAx>
        <c:axId val="11238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Edge Cut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email'!$B$49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email'!$A$50:$A$53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email'!$B$50:$B$53</c:f>
              <c:numCache>
                <c:formatCode>General</c:formatCode>
                <c:ptCount val="4"/>
                <c:pt idx="0">
                  <c:v>1870.4</c:v>
                </c:pt>
                <c:pt idx="1">
                  <c:v>2673.2</c:v>
                </c:pt>
                <c:pt idx="2">
                  <c:v>2734.6</c:v>
                </c:pt>
                <c:pt idx="3">
                  <c:v>3270.4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C1-4937-BAC7-0AF4564EFD1C}"/>
            </c:ext>
          </c:extLst>
        </c:ser>
        <c:ser>
          <c:idx val="1"/>
          <c:order val="1"/>
          <c:tx>
            <c:strRef>
              <c:f>'Experiment 2 email'!$C$49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email'!$A$50:$A$53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email'!$C$50:$C$53</c:f>
              <c:numCache>
                <c:formatCode>General</c:formatCode>
                <c:ptCount val="4"/>
                <c:pt idx="0">
                  <c:v>1754.2</c:v>
                </c:pt>
                <c:pt idx="1">
                  <c:v>2666.8</c:v>
                </c:pt>
                <c:pt idx="2">
                  <c:v>2839.8</c:v>
                </c:pt>
                <c:pt idx="3">
                  <c:v>3310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C1-4937-BAC7-0AF4564EFD1C}"/>
            </c:ext>
          </c:extLst>
        </c:ser>
        <c:ser>
          <c:idx val="2"/>
          <c:order val="2"/>
          <c:tx>
            <c:strRef>
              <c:f>'Experiment 2 email'!$D$49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email'!$A$50:$A$53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email'!$D$50:$D$53</c:f>
              <c:numCache>
                <c:formatCode>General</c:formatCode>
                <c:ptCount val="4"/>
                <c:pt idx="0">
                  <c:v>1926.6</c:v>
                </c:pt>
                <c:pt idx="1">
                  <c:v>2871.4</c:v>
                </c:pt>
                <c:pt idx="2">
                  <c:v>3015.4</c:v>
                </c:pt>
                <c:pt idx="3">
                  <c:v>3068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C1-4937-BAC7-0AF4564EFD1C}"/>
            </c:ext>
          </c:extLst>
        </c:ser>
        <c:ser>
          <c:idx val="3"/>
          <c:order val="3"/>
          <c:tx>
            <c:strRef>
              <c:f>'Experiment 2 email'!$E$49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email'!$A$50:$A$53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email'!$E$50:$E$53</c:f>
              <c:numCache>
                <c:formatCode>General</c:formatCode>
                <c:ptCount val="4"/>
                <c:pt idx="0">
                  <c:v>1947.2</c:v>
                </c:pt>
                <c:pt idx="1">
                  <c:v>2838.6</c:v>
                </c:pt>
                <c:pt idx="2">
                  <c:v>3017.6</c:v>
                </c:pt>
                <c:pt idx="3">
                  <c:v>3109.8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1C1-4937-BAC7-0AF4564EFD1C}"/>
            </c:ext>
          </c:extLst>
        </c:ser>
        <c:ser>
          <c:idx val="4"/>
          <c:order val="4"/>
          <c:tx>
            <c:strRef>
              <c:f>'Experiment 2 email'!$F$49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email'!$A$50:$A$53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email'!$F$50:$F$53</c:f>
              <c:numCache>
                <c:formatCode>General</c:formatCode>
                <c:ptCount val="4"/>
                <c:pt idx="0">
                  <c:v>935.6</c:v>
                </c:pt>
                <c:pt idx="1">
                  <c:v>1435</c:v>
                </c:pt>
                <c:pt idx="2">
                  <c:v>1880.2</c:v>
                </c:pt>
                <c:pt idx="3">
                  <c:v>2311.6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1C1-4937-BAC7-0AF4564EFD1C}"/>
            </c:ext>
          </c:extLst>
        </c:ser>
        <c:ser>
          <c:idx val="5"/>
          <c:order val="5"/>
          <c:tx>
            <c:strRef>
              <c:f>'Experiment 2 email'!$G$49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email'!$A$50:$A$53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email'!$G$50:$G$53</c:f>
              <c:numCache>
                <c:formatCode>General</c:formatCode>
                <c:ptCount val="4"/>
                <c:pt idx="0">
                  <c:v>704</c:v>
                </c:pt>
                <c:pt idx="1">
                  <c:v>1332.2</c:v>
                </c:pt>
                <c:pt idx="2">
                  <c:v>1750.8</c:v>
                </c:pt>
                <c:pt idx="3">
                  <c:v>2226.8000000000002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1C1-4937-BAC7-0AF4564EF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1583"/>
        <c:axId val="112393023"/>
      </c:scatterChart>
      <c:valAx>
        <c:axId val="11239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3023"/>
        <c:crosses val="autoZero"/>
        <c:crossBetween val="midCat"/>
      </c:valAx>
      <c:valAx>
        <c:axId val="11239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Runtimes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email'!$K$55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email'!$J$56:$J$59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email'!$K$56:$K$59</c:f>
              <c:numCache>
                <c:formatCode>General</c:formatCode>
                <c:ptCount val="4"/>
                <c:pt idx="0">
                  <c:v>1.35</c:v>
                </c:pt>
                <c:pt idx="1">
                  <c:v>2.3356000000000003</c:v>
                </c:pt>
                <c:pt idx="2">
                  <c:v>3.9055999999999997</c:v>
                </c:pt>
                <c:pt idx="3">
                  <c:v>4.0444000000000004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BD-4D76-BB6A-B1ECC7E91638}"/>
            </c:ext>
          </c:extLst>
        </c:ser>
        <c:ser>
          <c:idx val="1"/>
          <c:order val="1"/>
          <c:tx>
            <c:strRef>
              <c:f>'Experiment 2 email'!$L$55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email'!$J$56:$J$59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email'!$L$56:$L$59</c:f>
              <c:numCache>
                <c:formatCode>General</c:formatCode>
                <c:ptCount val="4"/>
                <c:pt idx="0">
                  <c:v>1.2576000000000001</c:v>
                </c:pt>
                <c:pt idx="1">
                  <c:v>2.2347999999999999</c:v>
                </c:pt>
                <c:pt idx="2">
                  <c:v>3.8977999999999993</c:v>
                </c:pt>
                <c:pt idx="3">
                  <c:v>3.8979999999999997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BD-4D76-BB6A-B1ECC7E91638}"/>
            </c:ext>
          </c:extLst>
        </c:ser>
        <c:ser>
          <c:idx val="2"/>
          <c:order val="2"/>
          <c:tx>
            <c:strRef>
              <c:f>'Experiment 2 email'!$M$55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email'!$J$56:$J$59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email'!$M$56:$M$59</c:f>
              <c:numCache>
                <c:formatCode>General</c:formatCode>
                <c:ptCount val="4"/>
                <c:pt idx="0">
                  <c:v>0.51219999999999999</c:v>
                </c:pt>
                <c:pt idx="1">
                  <c:v>0.4476</c:v>
                </c:pt>
                <c:pt idx="2">
                  <c:v>0.51660000000000006</c:v>
                </c:pt>
                <c:pt idx="3">
                  <c:v>0.97000000000000008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BD-4D76-BB6A-B1ECC7E91638}"/>
            </c:ext>
          </c:extLst>
        </c:ser>
        <c:ser>
          <c:idx val="3"/>
          <c:order val="3"/>
          <c:tx>
            <c:strRef>
              <c:f>'Experiment 2 email'!$N$55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2 email'!$J$56:$J$59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email'!$N$56:$N$59</c:f>
              <c:numCache>
                <c:formatCode>General</c:formatCode>
                <c:ptCount val="4"/>
                <c:pt idx="0">
                  <c:v>0.23500000000000001</c:v>
                </c:pt>
                <c:pt idx="1">
                  <c:v>0.25719999999999998</c:v>
                </c:pt>
                <c:pt idx="2">
                  <c:v>0.29339999999999999</c:v>
                </c:pt>
                <c:pt idx="3">
                  <c:v>0.496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BD-4D76-BB6A-B1ECC7E91638}"/>
            </c:ext>
          </c:extLst>
        </c:ser>
        <c:ser>
          <c:idx val="4"/>
          <c:order val="4"/>
          <c:tx>
            <c:strRef>
              <c:f>'Experiment 2 email'!$O$55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2 email'!$J$56:$J$59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email'!$O$56:$O$59</c:f>
              <c:numCache>
                <c:formatCode>General</c:formatCode>
                <c:ptCount val="4"/>
                <c:pt idx="0">
                  <c:v>0.52259999999999995</c:v>
                </c:pt>
                <c:pt idx="1">
                  <c:v>0.63960000000000006</c:v>
                </c:pt>
                <c:pt idx="2">
                  <c:v>0.76340000000000008</c:v>
                </c:pt>
                <c:pt idx="3">
                  <c:v>1.1254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BD-4D76-BB6A-B1ECC7E91638}"/>
            </c:ext>
          </c:extLst>
        </c:ser>
        <c:ser>
          <c:idx val="5"/>
          <c:order val="5"/>
          <c:tx>
            <c:strRef>
              <c:f>'Experiment 2 email'!$P$55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2 email'!$J$56:$J$59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email'!$P$56:$P$59</c:f>
              <c:numCache>
                <c:formatCode>General</c:formatCode>
                <c:ptCount val="4"/>
                <c:pt idx="0">
                  <c:v>0.46800000000000008</c:v>
                </c:pt>
                <c:pt idx="1">
                  <c:v>0.80920000000000003</c:v>
                </c:pt>
                <c:pt idx="2">
                  <c:v>1.0364</c:v>
                </c:pt>
                <c:pt idx="3">
                  <c:v>1.5226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BD-4D76-BB6A-B1ECC7E91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18079"/>
        <c:axId val="124303199"/>
      </c:scatterChart>
      <c:valAx>
        <c:axId val="12431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03199"/>
        <c:crosses val="autoZero"/>
        <c:crossBetween val="midCat"/>
      </c:valAx>
      <c:valAx>
        <c:axId val="1243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1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email'!$U$89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email'!$T$90:$T$93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email'!$U$90:$U$93</c:f>
              <c:numCache>
                <c:formatCode>General</c:formatCode>
                <c:ptCount val="4"/>
                <c:pt idx="0">
                  <c:v>0.14072000000000001</c:v>
                </c:pt>
                <c:pt idx="1">
                  <c:v>0.26044</c:v>
                </c:pt>
                <c:pt idx="2">
                  <c:v>0.49757999999999997</c:v>
                </c:pt>
                <c:pt idx="3">
                  <c:v>0.8607999999999999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3A-4CBE-8BB9-F800FA851198}"/>
            </c:ext>
          </c:extLst>
        </c:ser>
        <c:ser>
          <c:idx val="1"/>
          <c:order val="1"/>
          <c:tx>
            <c:strRef>
              <c:f>'Experiment 2 email'!$V$89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email'!$T$90:$T$93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email'!$V$90:$V$93</c:f>
              <c:numCache>
                <c:formatCode>General</c:formatCode>
                <c:ptCount val="4"/>
                <c:pt idx="0">
                  <c:v>0.12754000000000001</c:v>
                </c:pt>
                <c:pt idx="1">
                  <c:v>0.26141999999999999</c:v>
                </c:pt>
                <c:pt idx="2">
                  <c:v>0.51740000000000008</c:v>
                </c:pt>
                <c:pt idx="3">
                  <c:v>0.87059999999999993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3A-4CBE-8BB9-F800FA851198}"/>
            </c:ext>
          </c:extLst>
        </c:ser>
        <c:ser>
          <c:idx val="2"/>
          <c:order val="2"/>
          <c:tx>
            <c:strRef>
              <c:f>'Experiment 2 email'!$W$89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email'!$T$90:$T$93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email'!$W$90:$W$93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9.8630000000000002E-3</c:v>
                </c:pt>
                <c:pt idx="3">
                  <c:v>1.6319999999999998E-2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3A-4CBE-8BB9-F800FA851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42879"/>
        <c:axId val="116762559"/>
      </c:scatterChart>
      <c:valAx>
        <c:axId val="11674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2559"/>
        <c:crosses val="autoZero"/>
        <c:crossBetween val="midCat"/>
      </c:valAx>
      <c:valAx>
        <c:axId val="11676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2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email'!$U$97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2 email'!$T$98:$T$101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email'!$U$98:$U$101</c:f>
              <c:numCache>
                <c:formatCode>0.00%</c:formatCode>
                <c:ptCount val="4"/>
                <c:pt idx="0">
                  <c:v>0.129358</c:v>
                </c:pt>
                <c:pt idx="1">
                  <c:v>0.27715199999999995</c:v>
                </c:pt>
                <c:pt idx="2">
                  <c:v>0.72483399999999998</c:v>
                </c:pt>
                <c:pt idx="3">
                  <c:v>3.0084840000000002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AA-490E-A479-05356E0C2938}"/>
            </c:ext>
          </c:extLst>
        </c:ser>
        <c:ser>
          <c:idx val="1"/>
          <c:order val="1"/>
          <c:tx>
            <c:strRef>
              <c:f>'Experiment 2 email'!$V$97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2 email'!$T$98:$T$101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email'!$V$98:$V$101</c:f>
              <c:numCache>
                <c:formatCode>0.00%</c:formatCode>
                <c:ptCount val="4"/>
                <c:pt idx="0">
                  <c:v>0.14325399999999999</c:v>
                </c:pt>
                <c:pt idx="1">
                  <c:v>0.28234799999999999</c:v>
                </c:pt>
                <c:pt idx="2">
                  <c:v>0.70419999999999994</c:v>
                </c:pt>
                <c:pt idx="3">
                  <c:v>3.0500479999999994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AA-490E-A479-05356E0C2938}"/>
            </c:ext>
          </c:extLst>
        </c:ser>
        <c:ser>
          <c:idx val="2"/>
          <c:order val="2"/>
          <c:tx>
            <c:strRef>
              <c:f>'Experiment 2 email'!$W$97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2 email'!$T$98:$T$101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'Experiment 2 email'!$W$98:$W$101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3.8907000000000004E-2</c:v>
                </c:pt>
                <c:pt idx="3">
                  <c:v>0.3084828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AA-490E-A479-05356E0C2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76511"/>
        <c:axId val="155169791"/>
      </c:scatterChart>
      <c:valAx>
        <c:axId val="15517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9791"/>
        <c:crosses val="autoZero"/>
        <c:crossBetween val="midCat"/>
      </c:valAx>
      <c:valAx>
        <c:axId val="1551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2 email'!$AD$50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'Experiment 2 email'!$AC$51:$AC$54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'Experiment 2 email'!$AD$51:$AD$54</c:f>
              <c:numCache>
                <c:formatCode>General</c:formatCode>
                <c:ptCount val="4"/>
                <c:pt idx="0">
                  <c:v>0</c:v>
                </c:pt>
                <c:pt idx="1">
                  <c:v>49</c:v>
                </c:pt>
                <c:pt idx="2">
                  <c:v>42.2</c:v>
                </c:pt>
                <c:pt idx="3">
                  <c:v>140.19999999999999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20-491D-8DBE-CD1B337F95A4}"/>
            </c:ext>
          </c:extLst>
        </c:ser>
        <c:ser>
          <c:idx val="1"/>
          <c:order val="1"/>
          <c:tx>
            <c:strRef>
              <c:f>'Experiment 2 email'!$AE$50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'Experiment 2 email'!$AC$51:$AC$54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'Experiment 2 email'!$AE$51:$AE$54</c:f>
              <c:numCache>
                <c:formatCode>General</c:formatCode>
                <c:ptCount val="4"/>
                <c:pt idx="0">
                  <c:v>1.2</c:v>
                </c:pt>
                <c:pt idx="1">
                  <c:v>44.6</c:v>
                </c:pt>
                <c:pt idx="2">
                  <c:v>36.6</c:v>
                </c:pt>
                <c:pt idx="3">
                  <c:v>141.4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20-491D-8DBE-CD1B337F95A4}"/>
            </c:ext>
          </c:extLst>
        </c:ser>
        <c:ser>
          <c:idx val="2"/>
          <c:order val="2"/>
          <c:tx>
            <c:strRef>
              <c:f>'Experiment 2 email'!$AF$50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'Experiment 2 email'!$AC$51:$AC$54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'Experiment 2 email'!$AF$51:$AF$54</c:f>
              <c:numCache>
                <c:formatCode>General</c:formatCode>
                <c:ptCount val="4"/>
                <c:pt idx="0">
                  <c:v>56.8</c:v>
                </c:pt>
                <c:pt idx="1">
                  <c:v>87.2</c:v>
                </c:pt>
                <c:pt idx="2">
                  <c:v>56.6</c:v>
                </c:pt>
                <c:pt idx="3">
                  <c:v>45.6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20-491D-8DBE-CD1B337F95A4}"/>
            </c:ext>
          </c:extLst>
        </c:ser>
        <c:ser>
          <c:idx val="3"/>
          <c:order val="3"/>
          <c:tx>
            <c:strRef>
              <c:f>'Experiment 2 email'!$AG$50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'Experiment 2 email'!$AC$51:$AC$54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'Experiment 2 email'!$AG$51:$AG$54</c:f>
              <c:numCache>
                <c:formatCode>General</c:formatCode>
                <c:ptCount val="4"/>
                <c:pt idx="0">
                  <c:v>50.6</c:v>
                </c:pt>
                <c:pt idx="1">
                  <c:v>46.2</c:v>
                </c:pt>
                <c:pt idx="2">
                  <c:v>46.2</c:v>
                </c:pt>
                <c:pt idx="3">
                  <c:v>47.2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20-491D-8DBE-CD1B337F95A4}"/>
            </c:ext>
          </c:extLst>
        </c:ser>
        <c:ser>
          <c:idx val="4"/>
          <c:order val="4"/>
          <c:tx>
            <c:strRef>
              <c:f>'Experiment 2 email'!$AH$50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'Experiment 2 email'!$AC$51:$AC$54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'Experiment 2 email'!$AH$51:$AH$54</c:f>
              <c:numCache>
                <c:formatCode>General</c:formatCode>
                <c:ptCount val="4"/>
                <c:pt idx="0">
                  <c:v>12.6</c:v>
                </c:pt>
                <c:pt idx="1">
                  <c:v>22.8</c:v>
                </c:pt>
                <c:pt idx="2">
                  <c:v>33.799999999999997</c:v>
                </c:pt>
                <c:pt idx="3">
                  <c:v>47.6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20-491D-8DBE-CD1B337F95A4}"/>
            </c:ext>
          </c:extLst>
        </c:ser>
        <c:ser>
          <c:idx val="5"/>
          <c:order val="5"/>
          <c:tx>
            <c:strRef>
              <c:f>'Experiment 2 email'!$AI$50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'Experiment 2 email'!$AC$51:$AC$54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'Experiment 2 email'!$AI$51:$AI$54</c:f>
              <c:numCache>
                <c:formatCode>General</c:formatCode>
                <c:ptCount val="4"/>
                <c:pt idx="0">
                  <c:v>2</c:v>
                </c:pt>
                <c:pt idx="1">
                  <c:v>11.8</c:v>
                </c:pt>
                <c:pt idx="2">
                  <c:v>16</c:v>
                </c:pt>
                <c:pt idx="3">
                  <c:v>78.8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20-491D-8DBE-CD1B337F9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2511"/>
        <c:axId val="155201951"/>
      </c:scatterChart>
      <c:valAx>
        <c:axId val="15521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1951"/>
        <c:crosses val="autoZero"/>
        <c:crossBetween val="midCat"/>
      </c:valAx>
      <c:valAx>
        <c:axId val="1552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PGP'!$B$67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PGP'!$A$68:$A$72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PGP'!$B$68:$B$72</c:f>
              <c:numCache>
                <c:formatCode>General</c:formatCode>
                <c:ptCount val="5"/>
                <c:pt idx="0">
                  <c:v>3338</c:v>
                </c:pt>
                <c:pt idx="1">
                  <c:v>3488.4</c:v>
                </c:pt>
                <c:pt idx="2">
                  <c:v>3292.4</c:v>
                </c:pt>
                <c:pt idx="3">
                  <c:v>3480.8</c:v>
                </c:pt>
                <c:pt idx="4">
                  <c:v>3043.6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D8-4D03-AE9E-ED7029CA9365}"/>
            </c:ext>
          </c:extLst>
        </c:ser>
        <c:ser>
          <c:idx val="1"/>
          <c:order val="1"/>
          <c:tx>
            <c:strRef>
              <c:f>'Experiment 3 PGP'!$C$67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PGP'!$A$68:$A$72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PGP'!$C$68:$C$72</c:f>
              <c:numCache>
                <c:formatCode>General</c:formatCode>
                <c:ptCount val="5"/>
                <c:pt idx="0">
                  <c:v>3596.2</c:v>
                </c:pt>
                <c:pt idx="1">
                  <c:v>3506</c:v>
                </c:pt>
                <c:pt idx="2">
                  <c:v>3047.4</c:v>
                </c:pt>
                <c:pt idx="3">
                  <c:v>3331.6</c:v>
                </c:pt>
                <c:pt idx="4">
                  <c:v>3007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D8-4D03-AE9E-ED7029CA9365}"/>
            </c:ext>
          </c:extLst>
        </c:ser>
        <c:ser>
          <c:idx val="2"/>
          <c:order val="2"/>
          <c:tx>
            <c:strRef>
              <c:f>'Experiment 3 PGP'!$D$67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PGP'!$A$68:$A$72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PGP'!$D$68:$D$72</c:f>
              <c:numCache>
                <c:formatCode>General</c:formatCode>
                <c:ptCount val="5"/>
                <c:pt idx="0">
                  <c:v>4874.2</c:v>
                </c:pt>
                <c:pt idx="1">
                  <c:v>5333</c:v>
                </c:pt>
                <c:pt idx="2">
                  <c:v>7091.8</c:v>
                </c:pt>
                <c:pt idx="3">
                  <c:v>5130.6000000000004</c:v>
                </c:pt>
                <c:pt idx="4">
                  <c:v>7588.4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D8-4D03-AE9E-ED7029CA9365}"/>
            </c:ext>
          </c:extLst>
        </c:ser>
        <c:ser>
          <c:idx val="3"/>
          <c:order val="3"/>
          <c:tx>
            <c:strRef>
              <c:f>'Experiment 3 PGP'!$E$67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PGP'!$A$68:$A$72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PGP'!$E$68:$E$72</c:f>
              <c:numCache>
                <c:formatCode>General</c:formatCode>
                <c:ptCount val="5"/>
                <c:pt idx="0">
                  <c:v>4917.2</c:v>
                </c:pt>
                <c:pt idx="1">
                  <c:v>4537.8</c:v>
                </c:pt>
                <c:pt idx="2">
                  <c:v>4673.3999999999996</c:v>
                </c:pt>
                <c:pt idx="3">
                  <c:v>4836.3999999999996</c:v>
                </c:pt>
                <c:pt idx="4">
                  <c:v>4473.3999999999996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D8-4D03-AE9E-ED7029CA9365}"/>
            </c:ext>
          </c:extLst>
        </c:ser>
        <c:ser>
          <c:idx val="4"/>
          <c:order val="4"/>
          <c:tx>
            <c:strRef>
              <c:f>'Experiment 3 PGP'!$F$67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PGP'!$A$68:$A$72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PGP'!$F$68:$F$72</c:f>
              <c:numCache>
                <c:formatCode>General</c:formatCode>
                <c:ptCount val="5"/>
                <c:pt idx="0">
                  <c:v>753</c:v>
                </c:pt>
                <c:pt idx="1">
                  <c:v>745</c:v>
                </c:pt>
                <c:pt idx="2">
                  <c:v>756</c:v>
                </c:pt>
                <c:pt idx="3">
                  <c:v>743.4</c:v>
                </c:pt>
                <c:pt idx="4">
                  <c:v>743.6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D8-4D03-AE9E-ED7029CA9365}"/>
            </c:ext>
          </c:extLst>
        </c:ser>
        <c:ser>
          <c:idx val="5"/>
          <c:order val="5"/>
          <c:tx>
            <c:strRef>
              <c:f>'Experiment 3 PGP'!$G$67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PGP'!$A$68:$A$72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PGP'!$G$68:$G$72</c:f>
              <c:numCache>
                <c:formatCode>General</c:formatCode>
                <c:ptCount val="5"/>
                <c:pt idx="0">
                  <c:v>917.2</c:v>
                </c:pt>
                <c:pt idx="1">
                  <c:v>1037</c:v>
                </c:pt>
                <c:pt idx="2">
                  <c:v>933.8</c:v>
                </c:pt>
                <c:pt idx="3">
                  <c:v>962.8</c:v>
                </c:pt>
                <c:pt idx="4">
                  <c:v>940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D8-4D03-AE9E-ED7029CA9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53071"/>
        <c:axId val="476354511"/>
      </c:scatterChart>
      <c:valAx>
        <c:axId val="47635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4511"/>
        <c:crosses val="autoZero"/>
        <c:crossBetween val="midCat"/>
      </c:valAx>
      <c:valAx>
        <c:axId val="4763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5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Runtimes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PGP'!$M$62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PGP'!$L$63:$L$67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PGP'!$M$63:$M$67</c:f>
              <c:numCache>
                <c:formatCode>General</c:formatCode>
                <c:ptCount val="5"/>
                <c:pt idx="0">
                  <c:v>29.731999999999999</c:v>
                </c:pt>
                <c:pt idx="1">
                  <c:v>28.893000000000001</c:v>
                </c:pt>
                <c:pt idx="2">
                  <c:v>34.006666666666668</c:v>
                </c:pt>
                <c:pt idx="3">
                  <c:v>27.123799999999999</c:v>
                </c:pt>
                <c:pt idx="4">
                  <c:v>38.709799999999994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85-45B9-AAE7-765B2B4C3432}"/>
            </c:ext>
          </c:extLst>
        </c:ser>
        <c:ser>
          <c:idx val="1"/>
          <c:order val="1"/>
          <c:tx>
            <c:strRef>
              <c:f>'Experiment 3 PGP'!$N$62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PGP'!$L$63:$L$67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PGP'!$N$63:$N$67</c:f>
              <c:numCache>
                <c:formatCode>General</c:formatCode>
                <c:ptCount val="5"/>
                <c:pt idx="0">
                  <c:v>27.472799999999999</c:v>
                </c:pt>
                <c:pt idx="1">
                  <c:v>28.877400000000002</c:v>
                </c:pt>
                <c:pt idx="2">
                  <c:v>33.774000000000001</c:v>
                </c:pt>
                <c:pt idx="3">
                  <c:v>26.436799999999998</c:v>
                </c:pt>
                <c:pt idx="4">
                  <c:v>26.740999999999996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85-45B9-AAE7-765B2B4C3432}"/>
            </c:ext>
          </c:extLst>
        </c:ser>
        <c:ser>
          <c:idx val="2"/>
          <c:order val="2"/>
          <c:tx>
            <c:strRef>
              <c:f>'Experiment 3 PGP'!$O$62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PGP'!$L$63:$L$67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PGP'!$O$63:$O$67</c:f>
              <c:numCache>
                <c:formatCode>General</c:formatCode>
                <c:ptCount val="5"/>
                <c:pt idx="0">
                  <c:v>3.2576000000000001</c:v>
                </c:pt>
                <c:pt idx="1">
                  <c:v>4.0167999999999999</c:v>
                </c:pt>
                <c:pt idx="2">
                  <c:v>3.6713333333333331</c:v>
                </c:pt>
                <c:pt idx="3">
                  <c:v>12.863200000000001</c:v>
                </c:pt>
                <c:pt idx="4">
                  <c:v>12.624600000000001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85-45B9-AAE7-765B2B4C3432}"/>
            </c:ext>
          </c:extLst>
        </c:ser>
        <c:ser>
          <c:idx val="3"/>
          <c:order val="3"/>
          <c:tx>
            <c:strRef>
              <c:f>'Experiment 3 PGP'!$P$62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PGP'!$L$63:$L$67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PGP'!$P$63:$P$67</c:f>
              <c:numCache>
                <c:formatCode>General</c:formatCode>
                <c:ptCount val="5"/>
                <c:pt idx="0">
                  <c:v>1.2372000000000001</c:v>
                </c:pt>
                <c:pt idx="1">
                  <c:v>1.2368000000000001</c:v>
                </c:pt>
                <c:pt idx="2">
                  <c:v>1.3206666666666667</c:v>
                </c:pt>
                <c:pt idx="3">
                  <c:v>10.163</c:v>
                </c:pt>
                <c:pt idx="4">
                  <c:v>9.2776000000000014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85-45B9-AAE7-765B2B4C3432}"/>
            </c:ext>
          </c:extLst>
        </c:ser>
        <c:ser>
          <c:idx val="4"/>
          <c:order val="4"/>
          <c:tx>
            <c:strRef>
              <c:f>'Experiment 3 PGP'!$Q$62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PGP'!$L$63:$L$67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PGP'!$Q$63:$Q$67</c:f>
              <c:numCache>
                <c:formatCode>General</c:formatCode>
                <c:ptCount val="5"/>
                <c:pt idx="0">
                  <c:v>1.7651999999999997</c:v>
                </c:pt>
                <c:pt idx="1">
                  <c:v>1.6149999999999998</c:v>
                </c:pt>
                <c:pt idx="2">
                  <c:v>1.8596666666666666</c:v>
                </c:pt>
                <c:pt idx="3">
                  <c:v>1.5486</c:v>
                </c:pt>
                <c:pt idx="4">
                  <c:v>1.645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885-45B9-AAE7-765B2B4C3432}"/>
            </c:ext>
          </c:extLst>
        </c:ser>
        <c:ser>
          <c:idx val="5"/>
          <c:order val="5"/>
          <c:tx>
            <c:strRef>
              <c:f>'Experiment 3 PGP'!$R$62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PGP'!$L$63:$L$67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PGP'!$R$63:$R$67</c:f>
              <c:numCache>
                <c:formatCode>General</c:formatCode>
                <c:ptCount val="5"/>
                <c:pt idx="0">
                  <c:v>1.5427999999999999</c:v>
                </c:pt>
                <c:pt idx="1">
                  <c:v>1.4246000000000001</c:v>
                </c:pt>
                <c:pt idx="2">
                  <c:v>1.4766666666666666</c:v>
                </c:pt>
                <c:pt idx="3">
                  <c:v>1.5143999999999997</c:v>
                </c:pt>
                <c:pt idx="4">
                  <c:v>1.7266000000000001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885-45B9-AAE7-765B2B4C3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05791"/>
        <c:axId val="155207711"/>
      </c:scatterChart>
      <c:valAx>
        <c:axId val="15520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7711"/>
        <c:crosses val="autoZero"/>
        <c:crossBetween val="midCat"/>
      </c:valAx>
      <c:valAx>
        <c:axId val="15520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5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PGP'!$V$101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PGP'!$U$102:$U$106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PGP'!$V$102:$V$106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7.1599999999999983E-2</c:v>
                </c:pt>
                <c:pt idx="4">
                  <c:v>0.37730000000000008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9F-4AD7-B7A1-9ED98B226F0C}"/>
            </c:ext>
          </c:extLst>
        </c:ser>
        <c:ser>
          <c:idx val="1"/>
          <c:order val="1"/>
          <c:tx>
            <c:strRef>
              <c:f>'Experiment 3 PGP'!$W$101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PGP'!$U$102:$U$106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PGP'!$W$102:$W$106</c:f>
              <c:numCache>
                <c:formatCode>General</c:formatCode>
                <c:ptCount val="5"/>
                <c:pt idx="0">
                  <c:v>0.49014600000000003</c:v>
                </c:pt>
                <c:pt idx="1">
                  <c:v>0.25796000000000002</c:v>
                </c:pt>
                <c:pt idx="2">
                  <c:v>2.3472E-2</c:v>
                </c:pt>
                <c:pt idx="3">
                  <c:v>0.3322</c:v>
                </c:pt>
                <c:pt idx="4">
                  <c:v>0.9071999999999999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9F-4AD7-B7A1-9ED98B226F0C}"/>
            </c:ext>
          </c:extLst>
        </c:ser>
        <c:ser>
          <c:idx val="2"/>
          <c:order val="2"/>
          <c:tx>
            <c:strRef>
              <c:f>'Experiment 3 PGP'!$X$101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PGP'!$U$102:$U$106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PGP'!$X$102:$X$106</c:f>
              <c:numCache>
                <c:formatCode>General</c:formatCode>
                <c:ptCount val="5"/>
                <c:pt idx="0">
                  <c:v>0.51439999999999997</c:v>
                </c:pt>
                <c:pt idx="1">
                  <c:v>0.28450000000000003</c:v>
                </c:pt>
                <c:pt idx="2">
                  <c:v>3.7499999999999999E-2</c:v>
                </c:pt>
                <c:pt idx="3">
                  <c:v>0.31260000000000004</c:v>
                </c:pt>
                <c:pt idx="4">
                  <c:v>0.8972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9F-4AD7-B7A1-9ED98B22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84191"/>
        <c:axId val="155184671"/>
      </c:scatterChart>
      <c:valAx>
        <c:axId val="15518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4671"/>
        <c:crosses val="autoZero"/>
        <c:crossBetween val="midCat"/>
      </c:valAx>
      <c:valAx>
        <c:axId val="15518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4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PGP'!$V$111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PGP'!$U$112:$U$116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PGP'!$V$112:$V$116</c:f>
              <c:numCache>
                <c:formatCode>0.00%</c:formatCode>
                <c:ptCount val="5"/>
                <c:pt idx="0">
                  <c:v>0.72198799999999985</c:v>
                </c:pt>
                <c:pt idx="1">
                  <c:v>0.308392</c:v>
                </c:pt>
                <c:pt idx="2">
                  <c:v>3.4953999999999999E-2</c:v>
                </c:pt>
                <c:pt idx="3">
                  <c:v>0.36318400000000001</c:v>
                </c:pt>
                <c:pt idx="4">
                  <c:v>3.7655300000000005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3D-4FE6-961D-C3EC5218F8AE}"/>
            </c:ext>
          </c:extLst>
        </c:ser>
        <c:ser>
          <c:idx val="1"/>
          <c:order val="1"/>
          <c:tx>
            <c:strRef>
              <c:f>'Experiment 3 PGP'!$W$111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PGP'!$U$112:$U$116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PGP'!$W$112:$W$116</c:f>
              <c:numCache>
                <c:formatCode>0.00%</c:formatCode>
                <c:ptCount val="5"/>
                <c:pt idx="0">
                  <c:v>0.68982200000000005</c:v>
                </c:pt>
                <c:pt idx="1">
                  <c:v>0.27985599999999999</c:v>
                </c:pt>
                <c:pt idx="2">
                  <c:v>2.3556000000000001E-2</c:v>
                </c:pt>
                <c:pt idx="3">
                  <c:v>0.38479799999999997</c:v>
                </c:pt>
                <c:pt idx="4">
                  <c:v>3.8963570000000005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3D-4FE6-961D-C3EC5218F8AE}"/>
            </c:ext>
          </c:extLst>
        </c:ser>
        <c:ser>
          <c:idx val="2"/>
          <c:order val="2"/>
          <c:tx>
            <c:strRef>
              <c:f>'Experiment 3 PGP'!$X$111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PGP'!$U$112:$U$116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PGP'!$X$112:$X$116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8.6977799999999994E-2</c:v>
                </c:pt>
                <c:pt idx="4">
                  <c:v>2.31908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3D-4FE6-961D-C3EC5218F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1071"/>
        <c:axId val="155211551"/>
      </c:scatterChart>
      <c:valAx>
        <c:axId val="15521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1551"/>
        <c:crosses val="autoZero"/>
        <c:crossBetween val="midCat"/>
      </c:valAx>
      <c:valAx>
        <c:axId val="15521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11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PGP'!$AF$62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PGP'!$AE$63:$AE$67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PGP'!$AF$63:$AF$67</c:f>
              <c:numCache>
                <c:formatCode>General</c:formatCode>
                <c:ptCount val="5"/>
                <c:pt idx="0">
                  <c:v>246</c:v>
                </c:pt>
                <c:pt idx="1">
                  <c:v>458.4</c:v>
                </c:pt>
                <c:pt idx="2">
                  <c:v>442.4</c:v>
                </c:pt>
                <c:pt idx="3">
                  <c:v>313.39999999999998</c:v>
                </c:pt>
                <c:pt idx="4">
                  <c:v>168.8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81-44EC-82E6-D30B63A24BF9}"/>
            </c:ext>
          </c:extLst>
        </c:ser>
        <c:ser>
          <c:idx val="1"/>
          <c:order val="1"/>
          <c:tx>
            <c:strRef>
              <c:f>'Experiment 3 PGP'!$AG$62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PGP'!$AE$63:$AE$67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PGP'!$AG$63:$AG$67</c:f>
              <c:numCache>
                <c:formatCode>General</c:formatCode>
                <c:ptCount val="5"/>
                <c:pt idx="0">
                  <c:v>440</c:v>
                </c:pt>
                <c:pt idx="1">
                  <c:v>405.8</c:v>
                </c:pt>
                <c:pt idx="2">
                  <c:v>349.6</c:v>
                </c:pt>
                <c:pt idx="3">
                  <c:v>426.8</c:v>
                </c:pt>
                <c:pt idx="4">
                  <c:v>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81-44EC-82E6-D30B63A24BF9}"/>
            </c:ext>
          </c:extLst>
        </c:ser>
        <c:ser>
          <c:idx val="2"/>
          <c:order val="2"/>
          <c:tx>
            <c:strRef>
              <c:f>'Experiment 3 PGP'!$AH$62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PGP'!$AE$63:$AE$67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PGP'!$AH$63:$AH$67</c:f>
              <c:numCache>
                <c:formatCode>General</c:formatCode>
                <c:ptCount val="5"/>
                <c:pt idx="0">
                  <c:v>1032.5999999999999</c:v>
                </c:pt>
                <c:pt idx="1">
                  <c:v>1332.6</c:v>
                </c:pt>
                <c:pt idx="2">
                  <c:v>2884.4</c:v>
                </c:pt>
                <c:pt idx="3">
                  <c:v>1872.4</c:v>
                </c:pt>
                <c:pt idx="4">
                  <c:v>2611.4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81-44EC-82E6-D30B63A24BF9}"/>
            </c:ext>
          </c:extLst>
        </c:ser>
        <c:ser>
          <c:idx val="3"/>
          <c:order val="3"/>
          <c:tx>
            <c:strRef>
              <c:f>'Experiment 3 PGP'!$AI$62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PGP'!$AE$63:$AE$67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PGP'!$AI$63:$AI$67</c:f>
              <c:numCache>
                <c:formatCode>General</c:formatCode>
                <c:ptCount val="5"/>
                <c:pt idx="0">
                  <c:v>1096</c:v>
                </c:pt>
                <c:pt idx="1">
                  <c:v>1047.2</c:v>
                </c:pt>
                <c:pt idx="2">
                  <c:v>1128.5999999999999</c:v>
                </c:pt>
                <c:pt idx="3">
                  <c:v>1085</c:v>
                </c:pt>
                <c:pt idx="4">
                  <c:v>860.8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81-44EC-82E6-D30B63A24BF9}"/>
            </c:ext>
          </c:extLst>
        </c:ser>
        <c:ser>
          <c:idx val="4"/>
          <c:order val="4"/>
          <c:tx>
            <c:strRef>
              <c:f>'Experiment 3 PGP'!$AJ$62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PGP'!$AE$63:$AE$67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PGP'!$AJ$63:$AJ$67</c:f>
              <c:numCache>
                <c:formatCode>General</c:formatCode>
                <c:ptCount val="5"/>
                <c:pt idx="0">
                  <c:v>19.8</c:v>
                </c:pt>
                <c:pt idx="1">
                  <c:v>13.8</c:v>
                </c:pt>
                <c:pt idx="2">
                  <c:v>11.8</c:v>
                </c:pt>
                <c:pt idx="3">
                  <c:v>18.8</c:v>
                </c:pt>
                <c:pt idx="4">
                  <c:v>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81-44EC-82E6-D30B63A24BF9}"/>
            </c:ext>
          </c:extLst>
        </c:ser>
        <c:ser>
          <c:idx val="5"/>
          <c:order val="5"/>
          <c:tx>
            <c:strRef>
              <c:f>'Experiment 3 PGP'!$AK$62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PGP'!$AE$63:$AE$67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PGP'!$AK$63:$AK$67</c:f>
              <c:numCache>
                <c:formatCode>General</c:formatCode>
                <c:ptCount val="5"/>
                <c:pt idx="0">
                  <c:v>38.799999999999997</c:v>
                </c:pt>
                <c:pt idx="1">
                  <c:v>54</c:v>
                </c:pt>
                <c:pt idx="2">
                  <c:v>50.8</c:v>
                </c:pt>
                <c:pt idx="3">
                  <c:v>55.6</c:v>
                </c:pt>
                <c:pt idx="4">
                  <c:v>38.200000000000003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81-44EC-82E6-D30B63A24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56351"/>
        <c:axId val="155182271"/>
      </c:scatterChart>
      <c:valAx>
        <c:axId val="15515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2271"/>
        <c:crosses val="autoZero"/>
        <c:crossBetween val="midCat"/>
      </c:valAx>
      <c:valAx>
        <c:axId val="1551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Edge Cut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email'!$B$73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email'!$A$74:$A$78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email'!$B$74:$B$78</c:f>
              <c:numCache>
                <c:formatCode>General</c:formatCode>
                <c:ptCount val="5"/>
                <c:pt idx="0">
                  <c:v>2494.8000000000002</c:v>
                </c:pt>
                <c:pt idx="1">
                  <c:v>2654.4</c:v>
                </c:pt>
                <c:pt idx="2">
                  <c:v>2695</c:v>
                </c:pt>
                <c:pt idx="3">
                  <c:v>2384.1999999999998</c:v>
                </c:pt>
                <c:pt idx="4">
                  <c:v>1631.2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E0-47F2-9127-86B80EF60B1C}"/>
            </c:ext>
          </c:extLst>
        </c:ser>
        <c:ser>
          <c:idx val="1"/>
          <c:order val="1"/>
          <c:tx>
            <c:strRef>
              <c:f>'Experiment 3 email'!$C$73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email'!$A$74:$A$78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email'!$C$74:$C$78</c:f>
              <c:numCache>
                <c:formatCode>General</c:formatCode>
                <c:ptCount val="5"/>
                <c:pt idx="0">
                  <c:v>2519.8000000000002</c:v>
                </c:pt>
                <c:pt idx="1">
                  <c:v>2677.4</c:v>
                </c:pt>
                <c:pt idx="2">
                  <c:v>2700.8</c:v>
                </c:pt>
                <c:pt idx="3">
                  <c:v>2460.1999999999998</c:v>
                </c:pt>
                <c:pt idx="4">
                  <c:v>1532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E0-47F2-9127-86B80EF60B1C}"/>
            </c:ext>
          </c:extLst>
        </c:ser>
        <c:ser>
          <c:idx val="2"/>
          <c:order val="2"/>
          <c:tx>
            <c:strRef>
              <c:f>'Experiment 3 email'!$D$73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email'!$A$74:$A$78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email'!$D$74:$D$78</c:f>
              <c:numCache>
                <c:formatCode>General</c:formatCode>
                <c:ptCount val="5"/>
                <c:pt idx="0">
                  <c:v>2721.8</c:v>
                </c:pt>
                <c:pt idx="1">
                  <c:v>2864.4</c:v>
                </c:pt>
                <c:pt idx="2">
                  <c:v>2814.4</c:v>
                </c:pt>
                <c:pt idx="3">
                  <c:v>2618</c:v>
                </c:pt>
                <c:pt idx="4">
                  <c:v>2528.8000000000002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E0-47F2-9127-86B80EF60B1C}"/>
            </c:ext>
          </c:extLst>
        </c:ser>
        <c:ser>
          <c:idx val="3"/>
          <c:order val="3"/>
          <c:tx>
            <c:strRef>
              <c:f>'Experiment 3 email'!$E$73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email'!$A$74:$A$78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email'!$E$74:$E$78</c:f>
              <c:numCache>
                <c:formatCode>General</c:formatCode>
                <c:ptCount val="5"/>
                <c:pt idx="0">
                  <c:v>2698</c:v>
                </c:pt>
                <c:pt idx="1">
                  <c:v>2882.2</c:v>
                </c:pt>
                <c:pt idx="2">
                  <c:v>2823</c:v>
                </c:pt>
                <c:pt idx="3">
                  <c:v>2771.8</c:v>
                </c:pt>
                <c:pt idx="4">
                  <c:v>1908.4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E0-47F2-9127-86B80EF60B1C}"/>
            </c:ext>
          </c:extLst>
        </c:ser>
        <c:ser>
          <c:idx val="4"/>
          <c:order val="4"/>
          <c:tx>
            <c:strRef>
              <c:f>'Experiment 3 email'!$F$73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email'!$A$74:$A$78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email'!$F$74:$F$78</c:f>
              <c:numCache>
                <c:formatCode>General</c:formatCode>
                <c:ptCount val="5"/>
                <c:pt idx="0">
                  <c:v>1486</c:v>
                </c:pt>
                <c:pt idx="1">
                  <c:v>1482.6</c:v>
                </c:pt>
                <c:pt idx="2">
                  <c:v>1445.8</c:v>
                </c:pt>
                <c:pt idx="3">
                  <c:v>1426.4</c:v>
                </c:pt>
                <c:pt idx="4">
                  <c:v>1494.6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E0-47F2-9127-86B80EF60B1C}"/>
            </c:ext>
          </c:extLst>
        </c:ser>
        <c:ser>
          <c:idx val="5"/>
          <c:order val="5"/>
          <c:tx>
            <c:strRef>
              <c:f>'Experiment 3 email'!$G$73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email'!$A$74:$A$78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email'!$G$74:$G$78</c:f>
              <c:numCache>
                <c:formatCode>General</c:formatCode>
                <c:ptCount val="5"/>
                <c:pt idx="0">
                  <c:v>1319.6</c:v>
                </c:pt>
                <c:pt idx="1">
                  <c:v>1321.8</c:v>
                </c:pt>
                <c:pt idx="2">
                  <c:v>1342</c:v>
                </c:pt>
                <c:pt idx="3">
                  <c:v>1331.2</c:v>
                </c:pt>
                <c:pt idx="4">
                  <c:v>1295.8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5E0-47F2-9127-86B80EF60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74111"/>
        <c:axId val="155163071"/>
      </c:scatterChart>
      <c:valAx>
        <c:axId val="15517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3071"/>
        <c:crosses val="autoZero"/>
        <c:crossBetween val="midCat"/>
      </c:valAx>
      <c:valAx>
        <c:axId val="15516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Runtimes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email'!$L$61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email'!$K$62:$K$66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email'!$L$62:$L$66</c:f>
              <c:numCache>
                <c:formatCode>General</c:formatCode>
                <c:ptCount val="5"/>
                <c:pt idx="0">
                  <c:v>2.5342000000000002</c:v>
                </c:pt>
                <c:pt idx="1">
                  <c:v>2.4666000000000001</c:v>
                </c:pt>
                <c:pt idx="2">
                  <c:v>2.5009999999999999</c:v>
                </c:pt>
                <c:pt idx="3">
                  <c:v>2.4625999999999997</c:v>
                </c:pt>
                <c:pt idx="4">
                  <c:v>2.1452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86-45A9-865F-5164B8E90309}"/>
            </c:ext>
          </c:extLst>
        </c:ser>
        <c:ser>
          <c:idx val="1"/>
          <c:order val="1"/>
          <c:tx>
            <c:strRef>
              <c:f>'Experiment 3 email'!$M$61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email'!$K$62:$K$66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email'!$M$62:$M$66</c:f>
              <c:numCache>
                <c:formatCode>General</c:formatCode>
                <c:ptCount val="5"/>
                <c:pt idx="0">
                  <c:v>2.6914000000000002</c:v>
                </c:pt>
                <c:pt idx="1">
                  <c:v>2.5458000000000003</c:v>
                </c:pt>
                <c:pt idx="2">
                  <c:v>2.2432000000000003</c:v>
                </c:pt>
                <c:pt idx="3">
                  <c:v>2.2627999999999999</c:v>
                </c:pt>
                <c:pt idx="4">
                  <c:v>2.2206000000000001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86-45A9-865F-5164B8E90309}"/>
            </c:ext>
          </c:extLst>
        </c:ser>
        <c:ser>
          <c:idx val="2"/>
          <c:order val="2"/>
          <c:tx>
            <c:strRef>
              <c:f>'Experiment 3 email'!$N$61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email'!$K$62:$K$66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email'!$N$62:$N$66</c:f>
              <c:numCache>
                <c:formatCode>General</c:formatCode>
                <c:ptCount val="5"/>
                <c:pt idx="0">
                  <c:v>0.55779999999999996</c:v>
                </c:pt>
                <c:pt idx="1">
                  <c:v>0.4556</c:v>
                </c:pt>
                <c:pt idx="2">
                  <c:v>0.42199999999999999</c:v>
                </c:pt>
                <c:pt idx="3">
                  <c:v>1.5432000000000001</c:v>
                </c:pt>
                <c:pt idx="4">
                  <c:v>1.6237999999999999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86-45A9-865F-5164B8E90309}"/>
            </c:ext>
          </c:extLst>
        </c:ser>
        <c:ser>
          <c:idx val="3"/>
          <c:order val="3"/>
          <c:tx>
            <c:strRef>
              <c:f>'Experiment 3 email'!$O$61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email'!$K$62:$K$66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email'!$O$62:$O$66</c:f>
              <c:numCache>
                <c:formatCode>General</c:formatCode>
                <c:ptCount val="5"/>
                <c:pt idx="0">
                  <c:v>0.2492</c:v>
                </c:pt>
                <c:pt idx="1">
                  <c:v>0.2752</c:v>
                </c:pt>
                <c:pt idx="2">
                  <c:v>0.25</c:v>
                </c:pt>
                <c:pt idx="3">
                  <c:v>1.1801999999999999</c:v>
                </c:pt>
                <c:pt idx="4">
                  <c:v>1.0983999999999998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86-45A9-865F-5164B8E90309}"/>
            </c:ext>
          </c:extLst>
        </c:ser>
        <c:ser>
          <c:idx val="4"/>
          <c:order val="4"/>
          <c:tx>
            <c:strRef>
              <c:f>'Experiment 3 email'!$P$61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email'!$K$62:$K$66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email'!$P$62:$P$66</c:f>
              <c:numCache>
                <c:formatCode>General</c:formatCode>
                <c:ptCount val="5"/>
                <c:pt idx="0">
                  <c:v>0.72819999999999996</c:v>
                </c:pt>
                <c:pt idx="1">
                  <c:v>0.66220000000000001</c:v>
                </c:pt>
                <c:pt idx="2">
                  <c:v>0.61419999999999997</c:v>
                </c:pt>
                <c:pt idx="3">
                  <c:v>0.76419999999999999</c:v>
                </c:pt>
                <c:pt idx="4">
                  <c:v>0.67220000000000002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86-45A9-865F-5164B8E90309}"/>
            </c:ext>
          </c:extLst>
        </c:ser>
        <c:ser>
          <c:idx val="5"/>
          <c:order val="5"/>
          <c:tx>
            <c:strRef>
              <c:f>'Experiment 3 email'!$Q$61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email'!$K$62:$K$66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email'!$Q$62:$Q$66</c:f>
              <c:numCache>
                <c:formatCode>General</c:formatCode>
                <c:ptCount val="5"/>
                <c:pt idx="0">
                  <c:v>1.0054000000000003</c:v>
                </c:pt>
                <c:pt idx="1">
                  <c:v>1.2742</c:v>
                </c:pt>
                <c:pt idx="2">
                  <c:v>0.84139999999999993</c:v>
                </c:pt>
                <c:pt idx="3">
                  <c:v>0.95979999999999988</c:v>
                </c:pt>
                <c:pt idx="4">
                  <c:v>0.80120000000000002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386-45A9-865F-5164B8E90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75551"/>
        <c:axId val="155176511"/>
      </c:scatterChart>
      <c:valAx>
        <c:axId val="15517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6511"/>
        <c:crosses val="autoZero"/>
        <c:crossBetween val="midCat"/>
      </c:valAx>
      <c:valAx>
        <c:axId val="1551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5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email'!$V$101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email'!$U$102:$U$106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email'!$V$102:$V$106</c:f>
              <c:numCache>
                <c:formatCode>General</c:formatCode>
                <c:ptCount val="5"/>
                <c:pt idx="0">
                  <c:v>0.49180000000000001</c:v>
                </c:pt>
                <c:pt idx="1">
                  <c:v>0.26040000000000002</c:v>
                </c:pt>
                <c:pt idx="2">
                  <c:v>9.7000000000000003E-3</c:v>
                </c:pt>
                <c:pt idx="3">
                  <c:v>0.34408000000000005</c:v>
                </c:pt>
                <c:pt idx="4">
                  <c:v>0.90340000000000009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92-49DB-97B7-219F89D2D8EA}"/>
            </c:ext>
          </c:extLst>
        </c:ser>
        <c:ser>
          <c:idx val="1"/>
          <c:order val="1"/>
          <c:tx>
            <c:strRef>
              <c:f>'Experiment 3 email'!$W$101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email'!$U$102:$U$106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email'!$W$102:$W$106</c:f>
              <c:numCache>
                <c:formatCode>General</c:formatCode>
                <c:ptCount val="5"/>
                <c:pt idx="0">
                  <c:v>0.48280000000000001</c:v>
                </c:pt>
                <c:pt idx="1">
                  <c:v>0.26240000000000008</c:v>
                </c:pt>
                <c:pt idx="2">
                  <c:v>2.8080000000000001E-2</c:v>
                </c:pt>
                <c:pt idx="3">
                  <c:v>0.33877999999999997</c:v>
                </c:pt>
                <c:pt idx="4">
                  <c:v>0.8972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92-49DB-97B7-219F89D2D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77471"/>
        <c:axId val="155162591"/>
      </c:scatterChart>
      <c:valAx>
        <c:axId val="15517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62591"/>
        <c:crosses val="autoZero"/>
        <c:crossBetween val="midCat"/>
      </c:valAx>
      <c:valAx>
        <c:axId val="15516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7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email'!$V$111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email'!$U$112:$U$116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email'!$V$112:$V$116</c:f>
              <c:numCache>
                <c:formatCode>0.00%</c:formatCode>
                <c:ptCount val="5"/>
                <c:pt idx="0">
                  <c:v>0.68529400000000007</c:v>
                </c:pt>
                <c:pt idx="1">
                  <c:v>0.28793400000000002</c:v>
                </c:pt>
                <c:pt idx="2">
                  <c:v>2.8241800000000001E-2</c:v>
                </c:pt>
                <c:pt idx="3">
                  <c:v>0.39697940000000004</c:v>
                </c:pt>
                <c:pt idx="4">
                  <c:v>3.835944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22-476B-9B6D-E620624153AB}"/>
            </c:ext>
          </c:extLst>
        </c:ser>
        <c:ser>
          <c:idx val="1"/>
          <c:order val="1"/>
          <c:tx>
            <c:strRef>
              <c:f>'Experiment 3 email'!$W$111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email'!$U$112:$U$116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email'!$W$112:$W$116</c:f>
              <c:numCache>
                <c:formatCode>0.00%</c:formatCode>
                <c:ptCount val="5"/>
                <c:pt idx="0">
                  <c:v>0.69217400000000007</c:v>
                </c:pt>
                <c:pt idx="1">
                  <c:v>0.28385999999999995</c:v>
                </c:pt>
                <c:pt idx="2">
                  <c:v>1.0238000000000001E-2</c:v>
                </c:pt>
                <c:pt idx="3">
                  <c:v>0.40174320000000002</c:v>
                </c:pt>
                <c:pt idx="4">
                  <c:v>3.8688463999999998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22-476B-9B6D-E620624153AB}"/>
            </c:ext>
          </c:extLst>
        </c:ser>
        <c:ser>
          <c:idx val="2"/>
          <c:order val="2"/>
          <c:tx>
            <c:strRef>
              <c:f>'Experiment 3 email'!$X$111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email'!$U$112:$U$116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email'!$X$112:$X$116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0.19237000000000001</c:v>
                </c:pt>
                <c:pt idx="4">
                  <c:v>3.8768380000000002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22-476B-9B6D-E62062415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73151"/>
        <c:axId val="155173631"/>
      </c:scatterChart>
      <c:valAx>
        <c:axId val="155173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3631"/>
        <c:crosses val="autoZero"/>
        <c:crossBetween val="midCat"/>
      </c:valAx>
      <c:valAx>
        <c:axId val="1551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73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email'!$AE$62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email'!$AD$63:$AD$67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email'!$AE$63:$AE$67</c:f>
              <c:numCache>
                <c:formatCode>General</c:formatCode>
                <c:ptCount val="5"/>
                <c:pt idx="0">
                  <c:v>50.4</c:v>
                </c:pt>
                <c:pt idx="1">
                  <c:v>19.399999999999999</c:v>
                </c:pt>
                <c:pt idx="2">
                  <c:v>8</c:v>
                </c:pt>
                <c:pt idx="3">
                  <c:v>49.6</c:v>
                </c:pt>
                <c:pt idx="4">
                  <c:v>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EA-4215-AAFC-9A7064B88CC9}"/>
            </c:ext>
          </c:extLst>
        </c:ser>
        <c:ser>
          <c:idx val="1"/>
          <c:order val="1"/>
          <c:tx>
            <c:strRef>
              <c:f>'Experiment 3 email'!$AF$62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email'!$AD$63:$AD$67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email'!$AF$63:$AF$67</c:f>
              <c:numCache>
                <c:formatCode>General</c:formatCode>
                <c:ptCount val="5"/>
                <c:pt idx="0">
                  <c:v>32</c:v>
                </c:pt>
                <c:pt idx="1">
                  <c:v>64.400000000000006</c:v>
                </c:pt>
                <c:pt idx="2">
                  <c:v>5.8</c:v>
                </c:pt>
                <c:pt idx="3">
                  <c:v>42.4</c:v>
                </c:pt>
                <c:pt idx="4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EA-4215-AAFC-9A7064B88CC9}"/>
            </c:ext>
          </c:extLst>
        </c:ser>
        <c:ser>
          <c:idx val="2"/>
          <c:order val="2"/>
          <c:tx>
            <c:strRef>
              <c:f>'Experiment 3 email'!$AG$62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email'!$AD$63:$AD$67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email'!$AG$63:$AG$67</c:f>
              <c:numCache>
                <c:formatCode>General</c:formatCode>
                <c:ptCount val="5"/>
                <c:pt idx="0">
                  <c:v>63.2</c:v>
                </c:pt>
                <c:pt idx="1">
                  <c:v>76.599999999999994</c:v>
                </c:pt>
                <c:pt idx="2">
                  <c:v>99</c:v>
                </c:pt>
                <c:pt idx="3">
                  <c:v>92.2</c:v>
                </c:pt>
                <c:pt idx="4">
                  <c:v>92.8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EA-4215-AAFC-9A7064B88CC9}"/>
            </c:ext>
          </c:extLst>
        </c:ser>
        <c:ser>
          <c:idx val="3"/>
          <c:order val="3"/>
          <c:tx>
            <c:strRef>
              <c:f>'Experiment 3 email'!$AH$62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email'!$AD$63:$AD$67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email'!$AH$63:$AH$67</c:f>
              <c:numCache>
                <c:formatCode>General</c:formatCode>
                <c:ptCount val="5"/>
                <c:pt idx="0">
                  <c:v>63.2</c:v>
                </c:pt>
                <c:pt idx="1">
                  <c:v>85</c:v>
                </c:pt>
                <c:pt idx="2">
                  <c:v>89.8</c:v>
                </c:pt>
                <c:pt idx="3">
                  <c:v>70.599999999999994</c:v>
                </c:pt>
                <c:pt idx="4">
                  <c:v>29.8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EA-4215-AAFC-9A7064B88CC9}"/>
            </c:ext>
          </c:extLst>
        </c:ser>
        <c:ser>
          <c:idx val="4"/>
          <c:order val="4"/>
          <c:tx>
            <c:strRef>
              <c:f>'Experiment 3 email'!$AI$62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email'!$AD$63:$AD$67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email'!$AI$63:$AI$67</c:f>
              <c:numCache>
                <c:formatCode>General</c:formatCode>
                <c:ptCount val="5"/>
                <c:pt idx="0">
                  <c:v>22.4</c:v>
                </c:pt>
                <c:pt idx="1">
                  <c:v>25.6</c:v>
                </c:pt>
                <c:pt idx="2">
                  <c:v>19</c:v>
                </c:pt>
                <c:pt idx="3">
                  <c:v>20.2</c:v>
                </c:pt>
                <c:pt idx="4">
                  <c:v>21.4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EA-4215-AAFC-9A7064B88CC9}"/>
            </c:ext>
          </c:extLst>
        </c:ser>
        <c:ser>
          <c:idx val="5"/>
          <c:order val="5"/>
          <c:tx>
            <c:strRef>
              <c:f>'Experiment 3 email'!$AJ$62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email'!$AD$63:$AD$67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email'!$AJ$63:$AJ$67</c:f>
              <c:numCache>
                <c:formatCode>General</c:formatCode>
                <c:ptCount val="5"/>
                <c:pt idx="0">
                  <c:v>8.8000000000000007</c:v>
                </c:pt>
                <c:pt idx="1">
                  <c:v>6.6</c:v>
                </c:pt>
                <c:pt idx="2">
                  <c:v>10.199999999999999</c:v>
                </c:pt>
                <c:pt idx="3">
                  <c:v>11.4</c:v>
                </c:pt>
                <c:pt idx="4">
                  <c:v>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EA-4215-AAFC-9A7064B88C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81791"/>
        <c:axId val="155158751"/>
      </c:scatterChart>
      <c:valAx>
        <c:axId val="15518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58751"/>
        <c:crosses val="autoZero"/>
        <c:crossBetween val="midCat"/>
      </c:valAx>
      <c:valAx>
        <c:axId val="15515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81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Connected Components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4elt'!$AE$62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4elt'!$AD$63:$AD$67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4elt'!$AE$63:$AE$67</c:f>
              <c:numCache>
                <c:formatCode>General</c:formatCode>
                <c:ptCount val="5"/>
                <c:pt idx="0">
                  <c:v>1</c:v>
                </c:pt>
                <c:pt idx="1">
                  <c:v>458.4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D9-4E12-92B7-3529FB7F6BEE}"/>
            </c:ext>
          </c:extLst>
        </c:ser>
        <c:ser>
          <c:idx val="1"/>
          <c:order val="1"/>
          <c:tx>
            <c:strRef>
              <c:f>'Experiment 3 4elt'!$AF$62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4elt'!$AD$63:$AD$67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4elt'!$AF$63:$AF$67</c:f>
              <c:numCache>
                <c:formatCode>General</c:formatCode>
                <c:ptCount val="5"/>
                <c:pt idx="0">
                  <c:v>1</c:v>
                </c:pt>
                <c:pt idx="1">
                  <c:v>405.8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D9-4E12-92B7-3529FB7F6BEE}"/>
            </c:ext>
          </c:extLst>
        </c:ser>
        <c:ser>
          <c:idx val="2"/>
          <c:order val="2"/>
          <c:tx>
            <c:strRef>
              <c:f>'Experiment 3 4elt'!$AG$62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4elt'!$AD$63:$AD$67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4elt'!$AG$63:$AG$67</c:f>
              <c:numCache>
                <c:formatCode>General</c:formatCode>
                <c:ptCount val="5"/>
                <c:pt idx="0">
                  <c:v>92</c:v>
                </c:pt>
                <c:pt idx="1">
                  <c:v>1332.6</c:v>
                </c:pt>
                <c:pt idx="2">
                  <c:v>119.6</c:v>
                </c:pt>
                <c:pt idx="3">
                  <c:v>395.6</c:v>
                </c:pt>
                <c:pt idx="4">
                  <c:v>343.2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D9-4E12-92B7-3529FB7F6BEE}"/>
            </c:ext>
          </c:extLst>
        </c:ser>
        <c:ser>
          <c:idx val="3"/>
          <c:order val="3"/>
          <c:tx>
            <c:strRef>
              <c:f>'Experiment 3 4elt'!$AH$62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4elt'!$AD$63:$AD$67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4elt'!$AH$63:$AH$67</c:f>
              <c:numCache>
                <c:formatCode>General</c:formatCode>
                <c:ptCount val="5"/>
                <c:pt idx="0">
                  <c:v>96.6</c:v>
                </c:pt>
                <c:pt idx="1">
                  <c:v>1047.2</c:v>
                </c:pt>
                <c:pt idx="2">
                  <c:v>109.8</c:v>
                </c:pt>
                <c:pt idx="3">
                  <c:v>103.4</c:v>
                </c:pt>
                <c:pt idx="4">
                  <c:v>63.4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D9-4E12-92B7-3529FB7F6BEE}"/>
            </c:ext>
          </c:extLst>
        </c:ser>
        <c:ser>
          <c:idx val="4"/>
          <c:order val="4"/>
          <c:tx>
            <c:strRef>
              <c:f>'Experiment 3 4elt'!$AI$62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4elt'!$AD$63:$AD$67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4elt'!$AI$63:$AI$67</c:f>
              <c:numCache>
                <c:formatCode>General</c:formatCode>
                <c:ptCount val="5"/>
                <c:pt idx="0">
                  <c:v>1</c:v>
                </c:pt>
                <c:pt idx="1">
                  <c:v>13.8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D9-4E12-92B7-3529FB7F6BEE}"/>
            </c:ext>
          </c:extLst>
        </c:ser>
        <c:ser>
          <c:idx val="5"/>
          <c:order val="5"/>
          <c:tx>
            <c:strRef>
              <c:f>'Experiment 3 4elt'!$AJ$62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4elt'!$AD$63:$AD$67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4elt'!$AJ$63:$AJ$67</c:f>
              <c:numCache>
                <c:formatCode>General</c:formatCode>
                <c:ptCount val="5"/>
                <c:pt idx="0">
                  <c:v>1</c:v>
                </c:pt>
                <c:pt idx="1">
                  <c:v>54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D9-4E12-92B7-3529FB7F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819536"/>
        <c:axId val="1333812816"/>
      </c:scatterChart>
      <c:valAx>
        <c:axId val="133381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12816"/>
        <c:crosses val="autoZero"/>
        <c:crossBetween val="midCat"/>
      </c:valAx>
      <c:valAx>
        <c:axId val="133381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19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4elt'!$U$101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4elt'!$T$102:$T$106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4elt'!$U$102:$U$106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0.14330000000000001</c:v>
                </c:pt>
                <c:pt idx="4">
                  <c:v>0.42919999999999997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BD-47EC-940D-D979A7CD4BB0}"/>
            </c:ext>
          </c:extLst>
        </c:ser>
        <c:ser>
          <c:idx val="1"/>
          <c:order val="1"/>
          <c:tx>
            <c:strRef>
              <c:f>'Experiment 3 4elt'!$V$101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4elt'!$T$102:$T$106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4elt'!$V$102:$V$106</c:f>
              <c:numCache>
                <c:formatCode>General</c:formatCode>
                <c:ptCount val="5"/>
                <c:pt idx="0">
                  <c:v>0.48806000000000005</c:v>
                </c:pt>
                <c:pt idx="1">
                  <c:v>0.25796000000000002</c:v>
                </c:pt>
                <c:pt idx="2">
                  <c:v>1.3120000000000001E-2</c:v>
                </c:pt>
                <c:pt idx="3">
                  <c:v>0.33940000000000003</c:v>
                </c:pt>
                <c:pt idx="4">
                  <c:v>0.90449999999999997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BD-47EC-940D-D979A7CD4BB0}"/>
            </c:ext>
          </c:extLst>
        </c:ser>
        <c:ser>
          <c:idx val="2"/>
          <c:order val="2"/>
          <c:tx>
            <c:strRef>
              <c:f>'Experiment 3 4elt'!$W$101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4elt'!$T$102:$T$106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4elt'!$W$102:$W$106</c:f>
              <c:numCache>
                <c:formatCode>General</c:formatCode>
                <c:ptCount val="5"/>
                <c:pt idx="0">
                  <c:v>0.48327999999999999</c:v>
                </c:pt>
                <c:pt idx="1">
                  <c:v>0.28450000000000003</c:v>
                </c:pt>
                <c:pt idx="2">
                  <c:v>8.5600000000000016E-3</c:v>
                </c:pt>
                <c:pt idx="3">
                  <c:v>0.34820000000000001</c:v>
                </c:pt>
                <c:pt idx="4">
                  <c:v>0.88205999999999984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BD-47EC-940D-D979A7CD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3983"/>
        <c:axId val="112389663"/>
      </c:scatterChart>
      <c:valAx>
        <c:axId val="11239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9663"/>
        <c:crosses val="autoZero"/>
        <c:crossBetween val="midCat"/>
      </c:valAx>
      <c:valAx>
        <c:axId val="1123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3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4elt'!$U$111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4elt'!$T$112:$T$116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4elt'!$U$112:$U$116</c:f>
              <c:numCache>
                <c:formatCode>0.00%</c:formatCode>
                <c:ptCount val="5"/>
                <c:pt idx="0">
                  <c:v>0.6776620000000001</c:v>
                </c:pt>
                <c:pt idx="1">
                  <c:v>0.308392</c:v>
                </c:pt>
                <c:pt idx="2">
                  <c:v>8.6087999999999998E-3</c:v>
                </c:pt>
                <c:pt idx="3">
                  <c:v>0.40719079999999996</c:v>
                </c:pt>
                <c:pt idx="4">
                  <c:v>3.948102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23-489A-AB4D-2A0C4C423F91}"/>
            </c:ext>
          </c:extLst>
        </c:ser>
        <c:ser>
          <c:idx val="1"/>
          <c:order val="1"/>
          <c:tx>
            <c:strRef>
              <c:f>'Experiment 3 4elt'!$V$111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4elt'!$T$112:$T$116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4elt'!$V$112:$V$116</c:f>
              <c:numCache>
                <c:formatCode>0.00%</c:formatCode>
                <c:ptCount val="5"/>
                <c:pt idx="0">
                  <c:v>0.68705380000000005</c:v>
                </c:pt>
                <c:pt idx="1">
                  <c:v>0.27985599999999999</c:v>
                </c:pt>
                <c:pt idx="2">
                  <c:v>1.217E-2</c:v>
                </c:pt>
                <c:pt idx="3">
                  <c:v>0.39574399999999998</c:v>
                </c:pt>
                <c:pt idx="4">
                  <c:v>3.9340999999999995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23-489A-AB4D-2A0C4C423F91}"/>
            </c:ext>
          </c:extLst>
        </c:ser>
        <c:ser>
          <c:idx val="2"/>
          <c:order val="2"/>
          <c:tx>
            <c:strRef>
              <c:f>'Experiment 3 4elt'!$W$111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4elt'!$T$112:$T$116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4elt'!$W$112:$W$116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0.25796199999999997</c:v>
                </c:pt>
                <c:pt idx="4">
                  <c:v>1.9379632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23-489A-AB4D-2A0C4C423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98879"/>
        <c:axId val="1296474111"/>
      </c:scatterChart>
      <c:valAx>
        <c:axId val="12429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474111"/>
        <c:crosses val="autoZero"/>
        <c:crossBetween val="midCat"/>
      </c:valAx>
      <c:valAx>
        <c:axId val="129647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9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Runtimes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4elt'!$K$62</c:f>
              <c:strCache>
                <c:ptCount val="1"/>
                <c:pt idx="0">
                  <c:v>Proposed Model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'Experiment 3 4elt'!$J$63:$J$67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4elt'!$K$63:$K$67</c:f>
              <c:numCache>
                <c:formatCode>General</c:formatCode>
                <c:ptCount val="5"/>
                <c:pt idx="0">
                  <c:v>37.549399999999991</c:v>
                </c:pt>
                <c:pt idx="1">
                  <c:v>28.893000000000001</c:v>
                </c:pt>
                <c:pt idx="2">
                  <c:v>44.338999999999999</c:v>
                </c:pt>
                <c:pt idx="3">
                  <c:v>41.877200000000002</c:v>
                </c:pt>
                <c:pt idx="4">
                  <c:v>16.586000000000002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F-4747-B3EA-567CD716AB9A}"/>
            </c:ext>
          </c:extLst>
        </c:ser>
        <c:ser>
          <c:idx val="1"/>
          <c:order val="1"/>
          <c:tx>
            <c:strRef>
              <c:f>'Experiment 3 4elt'!$L$62</c:f>
              <c:strCache>
                <c:ptCount val="1"/>
                <c:pt idx="0">
                  <c:v>Proposed Model Without Refinement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'Experiment 3 4elt'!$J$63:$J$67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4elt'!$L$63:$L$67</c:f>
              <c:numCache>
                <c:formatCode>General</c:formatCode>
                <c:ptCount val="5"/>
                <c:pt idx="0">
                  <c:v>45.866599999999998</c:v>
                </c:pt>
                <c:pt idx="1">
                  <c:v>28.877400000000002</c:v>
                </c:pt>
                <c:pt idx="2">
                  <c:v>41.443666666666665</c:v>
                </c:pt>
                <c:pt idx="3">
                  <c:v>39.939799999999998</c:v>
                </c:pt>
                <c:pt idx="4">
                  <c:v>16.172999999999998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BF-4747-B3EA-567CD716AB9A}"/>
            </c:ext>
          </c:extLst>
        </c:ser>
        <c:ser>
          <c:idx val="2"/>
          <c:order val="2"/>
          <c:tx>
            <c:strRef>
              <c:f>'Experiment 3 4elt'!$M$62</c:f>
              <c:strCache>
                <c:ptCount val="1"/>
                <c:pt idx="0">
                  <c:v>Proposed Model without (Split &amp; Merge)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'Experiment 3 4elt'!$J$63:$J$67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4elt'!$M$63:$M$67</c:f>
              <c:numCache>
                <c:formatCode>General</c:formatCode>
                <c:ptCount val="5"/>
                <c:pt idx="0">
                  <c:v>3.3466</c:v>
                </c:pt>
                <c:pt idx="1">
                  <c:v>4.0167999999999999</c:v>
                </c:pt>
                <c:pt idx="2">
                  <c:v>3.0526666666666666</c:v>
                </c:pt>
                <c:pt idx="3">
                  <c:v>31.794799999999999</c:v>
                </c:pt>
                <c:pt idx="4">
                  <c:v>19.813600000000001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BF-4747-B3EA-567CD716AB9A}"/>
            </c:ext>
          </c:extLst>
        </c:ser>
        <c:ser>
          <c:idx val="3"/>
          <c:order val="3"/>
          <c:tx>
            <c:strRef>
              <c:f>'Experiment 3 4elt'!$N$62</c:f>
              <c:strCache>
                <c:ptCount val="1"/>
                <c:pt idx="0">
                  <c:v>Proposed Model without (Split &amp; Merge) + Refinement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'Experiment 3 4elt'!$J$63:$J$67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4elt'!$N$63:$N$67</c:f>
              <c:numCache>
                <c:formatCode>General</c:formatCode>
                <c:ptCount val="5"/>
                <c:pt idx="0">
                  <c:v>1.2963999999999998</c:v>
                </c:pt>
                <c:pt idx="1">
                  <c:v>1.2368000000000001</c:v>
                </c:pt>
                <c:pt idx="2">
                  <c:v>1.28</c:v>
                </c:pt>
                <c:pt idx="3">
                  <c:v>21.136599999999998</c:v>
                </c:pt>
                <c:pt idx="4">
                  <c:v>10.078799999999999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BF-4747-B3EA-567CD716AB9A}"/>
            </c:ext>
          </c:extLst>
        </c:ser>
        <c:ser>
          <c:idx val="4"/>
          <c:order val="4"/>
          <c:tx>
            <c:strRef>
              <c:f>'Experiment 3 4elt'!$O$62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'Experiment 3 4elt'!$J$63:$J$67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4elt'!$O$63:$O$67</c:f>
              <c:numCache>
                <c:formatCode>General</c:formatCode>
                <c:ptCount val="5"/>
                <c:pt idx="0">
                  <c:v>2.0701999999999998</c:v>
                </c:pt>
                <c:pt idx="1">
                  <c:v>1.6149999999999998</c:v>
                </c:pt>
                <c:pt idx="2">
                  <c:v>2.0539999999999998</c:v>
                </c:pt>
                <c:pt idx="3">
                  <c:v>2.1138000000000003</c:v>
                </c:pt>
                <c:pt idx="4">
                  <c:v>1.9006000000000001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BF-4747-B3EA-567CD716AB9A}"/>
            </c:ext>
          </c:extLst>
        </c:ser>
        <c:ser>
          <c:idx val="5"/>
          <c:order val="5"/>
          <c:tx>
            <c:strRef>
              <c:f>'Experiment 3 4elt'!$P$62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'Experiment 3 4elt'!$J$63:$J$67</c:f>
              <c:numCache>
                <c:formatCode>General</c:formatCode>
                <c:ptCount val="5"/>
                <c:pt idx="0">
                  <c:v>0.7</c:v>
                </c:pt>
                <c:pt idx="1">
                  <c:v>0.3</c:v>
                </c:pt>
                <c:pt idx="2">
                  <c:v>0</c:v>
                </c:pt>
                <c:pt idx="3">
                  <c:v>-0.3</c:v>
                </c:pt>
                <c:pt idx="4">
                  <c:v>-0.7</c:v>
                </c:pt>
              </c:numCache>
            </c:numRef>
          </c:xVal>
          <c:yVal>
            <c:numRef>
              <c:f>'Experiment 3 4elt'!$P$63:$P$67</c:f>
              <c:numCache>
                <c:formatCode>General</c:formatCode>
                <c:ptCount val="5"/>
                <c:pt idx="0">
                  <c:v>1.3271999999999999</c:v>
                </c:pt>
                <c:pt idx="1">
                  <c:v>1.4246000000000001</c:v>
                </c:pt>
                <c:pt idx="2">
                  <c:v>0.91400000000000003</c:v>
                </c:pt>
                <c:pt idx="3">
                  <c:v>1.0309999999999999</c:v>
                </c:pt>
                <c:pt idx="4">
                  <c:v>0.94919999999999993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BF-4747-B3EA-567CD716A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1519"/>
        <c:axId val="116753439"/>
      </c:scatterChart>
      <c:valAx>
        <c:axId val="11675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3439"/>
        <c:crosses val="autoZero"/>
        <c:crossBetween val="midCat"/>
      </c:valAx>
      <c:valAx>
        <c:axId val="11675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51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Average Edge Cut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'Experiment 3 4elt'!$A$69</c:f>
              <c:strCache>
                <c:ptCount val="1"/>
                <c:pt idx="0">
                  <c:v>0.7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'Experiment 3 4elt'!$B$68:$G$68</c:f>
              <c:strCache>
                <c:ptCount val="6"/>
                <c:pt idx="0">
                  <c:v>Proposed Model</c:v>
                </c:pt>
                <c:pt idx="1">
                  <c:v>Proposed Model Without Refinement </c:v>
                </c:pt>
                <c:pt idx="2">
                  <c:v>Proposed Model without (Split &amp; Merge)</c:v>
                </c:pt>
                <c:pt idx="3">
                  <c:v>Proposed Model without (Split &amp; Merge) + Refinement </c:v>
                </c:pt>
                <c:pt idx="4">
                  <c:v>KaMinPar</c:v>
                </c:pt>
                <c:pt idx="5">
                  <c:v>KaHIP</c:v>
                </c:pt>
              </c:strCache>
            </c:strRef>
          </c:xVal>
          <c:yVal>
            <c:numRef>
              <c:f>'Experiment 3 4elt'!$B$69:$G$69</c:f>
              <c:numCache>
                <c:formatCode>General</c:formatCode>
                <c:ptCount val="6"/>
                <c:pt idx="0">
                  <c:v>1608.8</c:v>
                </c:pt>
                <c:pt idx="1">
                  <c:v>1296.5999999999999</c:v>
                </c:pt>
                <c:pt idx="2">
                  <c:v>2671.6</c:v>
                </c:pt>
                <c:pt idx="3">
                  <c:v>2822.4</c:v>
                </c:pt>
                <c:pt idx="4">
                  <c:v>386.6</c:v>
                </c:pt>
                <c:pt idx="5">
                  <c:v>344.4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2-4915-A146-D7316E762782}"/>
            </c:ext>
          </c:extLst>
        </c:ser>
        <c:ser>
          <c:idx val="1"/>
          <c:order val="1"/>
          <c:tx>
            <c:strRef>
              <c:f>'Experiment 3 4elt'!$A$70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'Experiment 3 4elt'!$B$68:$G$68</c:f>
              <c:strCache>
                <c:ptCount val="6"/>
                <c:pt idx="0">
                  <c:v>Proposed Model</c:v>
                </c:pt>
                <c:pt idx="1">
                  <c:v>Proposed Model Without Refinement </c:v>
                </c:pt>
                <c:pt idx="2">
                  <c:v>Proposed Model without (Split &amp; Merge)</c:v>
                </c:pt>
                <c:pt idx="3">
                  <c:v>Proposed Model without (Split &amp; Merge) + Refinement </c:v>
                </c:pt>
                <c:pt idx="4">
                  <c:v>KaMinPar</c:v>
                </c:pt>
                <c:pt idx="5">
                  <c:v>KaHIP</c:v>
                </c:pt>
              </c:strCache>
            </c:strRef>
          </c:xVal>
          <c:yVal>
            <c:numRef>
              <c:f>'Experiment 3 4elt'!$B$70:$G$70</c:f>
              <c:numCache>
                <c:formatCode>General</c:formatCode>
                <c:ptCount val="6"/>
                <c:pt idx="0">
                  <c:v>2708.4</c:v>
                </c:pt>
                <c:pt idx="1">
                  <c:v>1525.6</c:v>
                </c:pt>
                <c:pt idx="2">
                  <c:v>3334.4</c:v>
                </c:pt>
                <c:pt idx="3">
                  <c:v>2905.8</c:v>
                </c:pt>
                <c:pt idx="4">
                  <c:v>389.2</c:v>
                </c:pt>
                <c:pt idx="5">
                  <c:v>343.2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2-4915-A146-D7316E762782}"/>
            </c:ext>
          </c:extLst>
        </c:ser>
        <c:ser>
          <c:idx val="2"/>
          <c:order val="2"/>
          <c:tx>
            <c:strRef>
              <c:f>'Experiment 3 4elt'!$A$71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'Experiment 3 4elt'!$B$68:$G$68</c:f>
              <c:strCache>
                <c:ptCount val="6"/>
                <c:pt idx="0">
                  <c:v>Proposed Model</c:v>
                </c:pt>
                <c:pt idx="1">
                  <c:v>Proposed Model Without Refinement </c:v>
                </c:pt>
                <c:pt idx="2">
                  <c:v>Proposed Model without (Split &amp; Merge)</c:v>
                </c:pt>
                <c:pt idx="3">
                  <c:v>Proposed Model without (Split &amp; Merge) + Refinement </c:v>
                </c:pt>
                <c:pt idx="4">
                  <c:v>KaMinPar</c:v>
                </c:pt>
                <c:pt idx="5">
                  <c:v>KaHIP</c:v>
                </c:pt>
              </c:strCache>
            </c:strRef>
          </c:xVal>
          <c:yVal>
            <c:numRef>
              <c:f>'Experiment 3 4elt'!$B$71:$G$71</c:f>
              <c:numCache>
                <c:formatCode>General</c:formatCode>
                <c:ptCount val="6"/>
                <c:pt idx="0">
                  <c:v>1239.8</c:v>
                </c:pt>
                <c:pt idx="1">
                  <c:v>1177.8</c:v>
                </c:pt>
                <c:pt idx="2">
                  <c:v>2941.8</c:v>
                </c:pt>
                <c:pt idx="3">
                  <c:v>3069.2</c:v>
                </c:pt>
                <c:pt idx="4">
                  <c:v>364</c:v>
                </c:pt>
                <c:pt idx="5">
                  <c:v>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C2-4915-A146-D7316E762782}"/>
            </c:ext>
          </c:extLst>
        </c:ser>
        <c:ser>
          <c:idx val="3"/>
          <c:order val="3"/>
          <c:tx>
            <c:strRef>
              <c:f>'Experiment 3 4elt'!$A$72</c:f>
              <c:strCache>
                <c:ptCount val="1"/>
                <c:pt idx="0">
                  <c:v>-0.3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'Experiment 3 4elt'!$B$68:$G$68</c:f>
              <c:strCache>
                <c:ptCount val="6"/>
                <c:pt idx="0">
                  <c:v>Proposed Model</c:v>
                </c:pt>
                <c:pt idx="1">
                  <c:v>Proposed Model Without Refinement </c:v>
                </c:pt>
                <c:pt idx="2">
                  <c:v>Proposed Model without (Split &amp; Merge)</c:v>
                </c:pt>
                <c:pt idx="3">
                  <c:v>Proposed Model without (Split &amp; Merge) + Refinement </c:v>
                </c:pt>
                <c:pt idx="4">
                  <c:v>KaMinPar</c:v>
                </c:pt>
                <c:pt idx="5">
                  <c:v>KaHIP</c:v>
                </c:pt>
              </c:strCache>
            </c:strRef>
          </c:xVal>
          <c:yVal>
            <c:numRef>
              <c:f>'Experiment 3 4elt'!$B$72:$G$72</c:f>
              <c:numCache>
                <c:formatCode>General</c:formatCode>
                <c:ptCount val="6"/>
                <c:pt idx="0">
                  <c:v>1325.4</c:v>
                </c:pt>
                <c:pt idx="1">
                  <c:v>1131.2</c:v>
                </c:pt>
                <c:pt idx="2">
                  <c:v>6152</c:v>
                </c:pt>
                <c:pt idx="3">
                  <c:v>2817.2</c:v>
                </c:pt>
                <c:pt idx="4">
                  <c:v>377.2</c:v>
                </c:pt>
                <c:pt idx="5">
                  <c:v>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C2-4915-A146-D7316E762782}"/>
            </c:ext>
          </c:extLst>
        </c:ser>
        <c:ser>
          <c:idx val="4"/>
          <c:order val="4"/>
          <c:tx>
            <c:strRef>
              <c:f>'Experiment 3 4elt'!$A$73</c:f>
              <c:strCache>
                <c:ptCount val="1"/>
                <c:pt idx="0">
                  <c:v>-0.7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'Experiment 3 4elt'!$B$68:$G$68</c:f>
              <c:strCache>
                <c:ptCount val="6"/>
                <c:pt idx="0">
                  <c:v>Proposed Model</c:v>
                </c:pt>
                <c:pt idx="1">
                  <c:v>Proposed Model Without Refinement </c:v>
                </c:pt>
                <c:pt idx="2">
                  <c:v>Proposed Model without (Split &amp; Merge)</c:v>
                </c:pt>
                <c:pt idx="3">
                  <c:v>Proposed Model without (Split &amp; Merge) + Refinement </c:v>
                </c:pt>
                <c:pt idx="4">
                  <c:v>KaMinPar</c:v>
                </c:pt>
                <c:pt idx="5">
                  <c:v>KaHIP</c:v>
                </c:pt>
              </c:strCache>
            </c:strRef>
          </c:xVal>
          <c:yVal>
            <c:numRef>
              <c:f>'Experiment 3 4elt'!$B$73:$G$73</c:f>
              <c:numCache>
                <c:formatCode>General</c:formatCode>
                <c:ptCount val="6"/>
                <c:pt idx="0">
                  <c:v>837</c:v>
                </c:pt>
                <c:pt idx="1">
                  <c:v>871.4</c:v>
                </c:pt>
                <c:pt idx="2">
                  <c:v>5063</c:v>
                </c:pt>
                <c:pt idx="3">
                  <c:v>2109.1999999999998</c:v>
                </c:pt>
                <c:pt idx="4">
                  <c:v>397.8</c:v>
                </c:pt>
                <c:pt idx="5">
                  <c:v>343.6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C2-4915-A146-D7316E762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656192"/>
        <c:axId val="335247823"/>
      </c:scatterChart>
      <c:valAx>
        <c:axId val="116065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247823"/>
        <c:crosses val="autoZero"/>
        <c:crossBetween val="midCat"/>
      </c:valAx>
      <c:valAx>
        <c:axId val="3352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56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59</xdr:row>
      <xdr:rowOff>52386</xdr:rowOff>
    </xdr:from>
    <xdr:to>
      <xdr:col>8</xdr:col>
      <xdr:colOff>85724</xdr:colOff>
      <xdr:row>76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9C4D4-23CE-E97B-9F25-85E82CAFF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28575</xdr:colOff>
      <xdr:row>56</xdr:row>
      <xdr:rowOff>61912</xdr:rowOff>
    </xdr:from>
    <xdr:to>
      <xdr:col>17</xdr:col>
      <xdr:colOff>371475</xdr:colOff>
      <xdr:row>74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3D9D4E-C7C6-FFFD-CB3A-ECC95D7A9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400050</xdr:colOff>
      <xdr:row>80</xdr:row>
      <xdr:rowOff>185737</xdr:rowOff>
    </xdr:from>
    <xdr:to>
      <xdr:col>31</xdr:col>
      <xdr:colOff>95250</xdr:colOff>
      <xdr:row>95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9514A9-D7A2-3E23-8AAC-03184E061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91</xdr:row>
      <xdr:rowOff>176212</xdr:rowOff>
    </xdr:from>
    <xdr:to>
      <xdr:col>19</xdr:col>
      <xdr:colOff>542925</xdr:colOff>
      <xdr:row>106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6AE2-E9B7-B594-36C8-26BA22C8E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247649</xdr:colOff>
      <xdr:row>66</xdr:row>
      <xdr:rowOff>42861</xdr:rowOff>
    </xdr:from>
    <xdr:to>
      <xdr:col>43</xdr:col>
      <xdr:colOff>495300</xdr:colOff>
      <xdr:row>91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AF159C-6F8F-8CA5-82CA-9D5CC2779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119061</xdr:rowOff>
    </xdr:from>
    <xdr:to>
      <xdr:col>8</xdr:col>
      <xdr:colOff>285750</xdr:colOff>
      <xdr:row>84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9B9F5-A2F6-AFDA-455F-2DC33C418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419099</xdr:colOff>
      <xdr:row>66</xdr:row>
      <xdr:rowOff>157162</xdr:rowOff>
    </xdr:from>
    <xdr:to>
      <xdr:col>18</xdr:col>
      <xdr:colOff>200024</xdr:colOff>
      <xdr:row>88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F95605-4D9A-7AB9-5154-7A9A18A0F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95249</xdr:colOff>
      <xdr:row>85</xdr:row>
      <xdr:rowOff>4761</xdr:rowOff>
    </xdr:from>
    <xdr:to>
      <xdr:col>32</xdr:col>
      <xdr:colOff>238124</xdr:colOff>
      <xdr:row>106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0CA7FA-B172-0BFE-9977-443A52FBE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590550</xdr:colOff>
      <xdr:row>96</xdr:row>
      <xdr:rowOff>176212</xdr:rowOff>
    </xdr:from>
    <xdr:to>
      <xdr:col>20</xdr:col>
      <xdr:colOff>285750</xdr:colOff>
      <xdr:row>111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C2EA8C-9120-CA14-8F99-5219D9841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161924</xdr:colOff>
      <xdr:row>58</xdr:row>
      <xdr:rowOff>180975</xdr:rowOff>
    </xdr:from>
    <xdr:to>
      <xdr:col>46</xdr:col>
      <xdr:colOff>285749</xdr:colOff>
      <xdr:row>80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A6A902-0728-C352-9380-6F18B5332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79</xdr:row>
      <xdr:rowOff>14287</xdr:rowOff>
    </xdr:from>
    <xdr:to>
      <xdr:col>30</xdr:col>
      <xdr:colOff>114300</xdr:colOff>
      <xdr:row>97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B448A-85D8-43F5-95D1-7666F2397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59</xdr:row>
      <xdr:rowOff>80961</xdr:rowOff>
    </xdr:from>
    <xdr:to>
      <xdr:col>8</xdr:col>
      <xdr:colOff>47625</xdr:colOff>
      <xdr:row>83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68ADCE-86D2-B14C-9CD0-F3E054764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352424</xdr:colOff>
      <xdr:row>56</xdr:row>
      <xdr:rowOff>42862</xdr:rowOff>
    </xdr:from>
    <xdr:to>
      <xdr:col>17</xdr:col>
      <xdr:colOff>19050</xdr:colOff>
      <xdr:row>77</xdr:row>
      <xdr:rowOff>28576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B8362-1DFA-07AB-F5D9-F339730F1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581025</xdr:colOff>
      <xdr:row>99</xdr:row>
      <xdr:rowOff>100011</xdr:rowOff>
    </xdr:from>
    <xdr:to>
      <xdr:col>27</xdr:col>
      <xdr:colOff>504825</xdr:colOff>
      <xdr:row>115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F49B50-D954-1ADC-7B88-8E52CBEEA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381000</xdr:colOff>
      <xdr:row>66</xdr:row>
      <xdr:rowOff>52386</xdr:rowOff>
    </xdr:from>
    <xdr:to>
      <xdr:col>39</xdr:col>
      <xdr:colOff>590549</xdr:colOff>
      <xdr:row>88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DE923B-0DFF-F820-154A-9E28AA734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54</xdr:row>
      <xdr:rowOff>42862</xdr:rowOff>
    </xdr:from>
    <xdr:to>
      <xdr:col>8</xdr:col>
      <xdr:colOff>142875</xdr:colOff>
      <xdr:row>68</xdr:row>
      <xdr:rowOff>895350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F5E51-0D9B-D982-4852-CC67641D5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152401</xdr:colOff>
      <xdr:row>60</xdr:row>
      <xdr:rowOff>147636</xdr:rowOff>
    </xdr:from>
    <xdr:to>
      <xdr:col>18</xdr:col>
      <xdr:colOff>200025</xdr:colOff>
      <xdr:row>80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26AD8C-28C6-1CE3-45EB-3F1CEBE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361950</xdr:colOff>
      <xdr:row>86</xdr:row>
      <xdr:rowOff>138112</xdr:rowOff>
    </xdr:from>
    <xdr:to>
      <xdr:col>19</xdr:col>
      <xdr:colOff>152400</xdr:colOff>
      <xdr:row>104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2003F1-0B00-EEBF-EEA7-AB4477E33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200025</xdr:colOff>
      <xdr:row>97</xdr:row>
      <xdr:rowOff>157162</xdr:rowOff>
    </xdr:from>
    <xdr:to>
      <xdr:col>31</xdr:col>
      <xdr:colOff>504825</xdr:colOff>
      <xdr:row>112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703B90-6057-D090-FC74-5E54F48D3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600075</xdr:colOff>
      <xdr:row>54</xdr:row>
      <xdr:rowOff>271461</xdr:rowOff>
    </xdr:from>
    <xdr:to>
      <xdr:col>39</xdr:col>
      <xdr:colOff>485775</xdr:colOff>
      <xdr:row>68</xdr:row>
      <xdr:rowOff>809624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63B90B-A43A-6990-95AC-1898F486E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</xdr:colOff>
      <xdr:row>60</xdr:row>
      <xdr:rowOff>61911</xdr:rowOff>
    </xdr:from>
    <xdr:to>
      <xdr:col>8</xdr:col>
      <xdr:colOff>552450</xdr:colOff>
      <xdr:row>80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3B5B2-B08C-BA74-9CA3-159144483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323849</xdr:colOff>
      <xdr:row>61</xdr:row>
      <xdr:rowOff>71437</xdr:rowOff>
    </xdr:from>
    <xdr:to>
      <xdr:col>18</xdr:col>
      <xdr:colOff>447674</xdr:colOff>
      <xdr:row>77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FDC234-689B-F96E-E81F-82E222C35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228600</xdr:colOff>
      <xdr:row>82</xdr:row>
      <xdr:rowOff>52387</xdr:rowOff>
    </xdr:from>
    <xdr:to>
      <xdr:col>18</xdr:col>
      <xdr:colOff>533400</xdr:colOff>
      <xdr:row>96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7732FE-0CF7-0043-4B40-46C64FCE1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57149</xdr:colOff>
      <xdr:row>100</xdr:row>
      <xdr:rowOff>23811</xdr:rowOff>
    </xdr:from>
    <xdr:to>
      <xdr:col>20</xdr:col>
      <xdr:colOff>28574</xdr:colOff>
      <xdr:row>119</xdr:row>
      <xdr:rowOff>104774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2807DF-2E8E-1BCD-F94F-102260F93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609599</xdr:colOff>
      <xdr:row>54</xdr:row>
      <xdr:rowOff>585787</xdr:rowOff>
    </xdr:from>
    <xdr:to>
      <xdr:col>39</xdr:col>
      <xdr:colOff>409574</xdr:colOff>
      <xdr:row>68</xdr:row>
      <xdr:rowOff>962025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8453A6-0EDE-3D84-EF8A-0EFD1096B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53</xdr:row>
      <xdr:rowOff>185736</xdr:rowOff>
    </xdr:from>
    <xdr:to>
      <xdr:col>8</xdr:col>
      <xdr:colOff>104774</xdr:colOff>
      <xdr:row>68</xdr:row>
      <xdr:rowOff>1276349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C2CD2-EB4E-D113-2443-DD45D722D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59</xdr:row>
      <xdr:rowOff>166686</xdr:rowOff>
    </xdr:from>
    <xdr:to>
      <xdr:col>17</xdr:col>
      <xdr:colOff>285750</xdr:colOff>
      <xdr:row>77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F2DD8-11AF-FECA-C38B-015880641B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38099</xdr:colOff>
      <xdr:row>88</xdr:row>
      <xdr:rowOff>138112</xdr:rowOff>
    </xdr:from>
    <xdr:to>
      <xdr:col>18</xdr:col>
      <xdr:colOff>85724</xdr:colOff>
      <xdr:row>106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214997-54DF-2409-9628-078774674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523874</xdr:colOff>
      <xdr:row>102</xdr:row>
      <xdr:rowOff>90487</xdr:rowOff>
    </xdr:from>
    <xdr:to>
      <xdr:col>30</xdr:col>
      <xdr:colOff>76199</xdr:colOff>
      <xdr:row>119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FD0BF0-53DD-5C12-32CE-6D7C10D3B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371474</xdr:colOff>
      <xdr:row>54</xdr:row>
      <xdr:rowOff>147636</xdr:rowOff>
    </xdr:from>
    <xdr:to>
      <xdr:col>37</xdr:col>
      <xdr:colOff>514349</xdr:colOff>
      <xdr:row>69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F1757F-822A-7CB8-B088-72620C617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72</xdr:row>
      <xdr:rowOff>90486</xdr:rowOff>
    </xdr:from>
    <xdr:to>
      <xdr:col>7</xdr:col>
      <xdr:colOff>352424</xdr:colOff>
      <xdr:row>97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AFC14-8242-ACD8-4CF5-1B8F60D5B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142875</xdr:colOff>
      <xdr:row>69</xdr:row>
      <xdr:rowOff>33337</xdr:rowOff>
    </xdr:from>
    <xdr:to>
      <xdr:col>17</xdr:col>
      <xdr:colOff>142875</xdr:colOff>
      <xdr:row>85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824E11-842C-AF59-6122-3B48896C5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238125</xdr:colOff>
      <xdr:row>92</xdr:row>
      <xdr:rowOff>138112</xdr:rowOff>
    </xdr:from>
    <xdr:to>
      <xdr:col>18</xdr:col>
      <xdr:colOff>523875</xdr:colOff>
      <xdr:row>110</xdr:row>
      <xdr:rowOff>476250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DC653A-367E-3AAF-B436-776955FE9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400049</xdr:colOff>
      <xdr:row>113</xdr:row>
      <xdr:rowOff>61911</xdr:rowOff>
    </xdr:from>
    <xdr:to>
      <xdr:col>19</xdr:col>
      <xdr:colOff>295274</xdr:colOff>
      <xdr:row>133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8F0DF4-D424-6646-5DC5-4559B557F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57149</xdr:colOff>
      <xdr:row>69</xdr:row>
      <xdr:rowOff>166687</xdr:rowOff>
    </xdr:from>
    <xdr:to>
      <xdr:col>39</xdr:col>
      <xdr:colOff>381000</xdr:colOff>
      <xdr:row>88</xdr:row>
      <xdr:rowOff>381001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81EA35-BCDC-DB76-17A1-83019CA91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104774</xdr:colOff>
      <xdr:row>79</xdr:row>
      <xdr:rowOff>176211</xdr:rowOff>
    </xdr:from>
    <xdr:to>
      <xdr:col>8</xdr:col>
      <xdr:colOff>133349</xdr:colOff>
      <xdr:row>100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3A1167-007D-B7F1-BFA2-AFF29ACF8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228599</xdr:colOff>
      <xdr:row>66</xdr:row>
      <xdr:rowOff>166687</xdr:rowOff>
    </xdr:from>
    <xdr:to>
      <xdr:col>19</xdr:col>
      <xdr:colOff>19050</xdr:colOff>
      <xdr:row>84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CDE03-FCC9-4866-8FAD-9F06C276E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485774</xdr:colOff>
      <xdr:row>97</xdr:row>
      <xdr:rowOff>71437</xdr:rowOff>
    </xdr:from>
    <xdr:to>
      <xdr:col>18</xdr:col>
      <xdr:colOff>247649</xdr:colOff>
      <xdr:row>110</xdr:row>
      <xdr:rowOff>600075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06D846-CB32-EC33-7001-0B5A005E9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533399</xdr:colOff>
      <xdr:row>112</xdr:row>
      <xdr:rowOff>33337</xdr:rowOff>
    </xdr:from>
    <xdr:to>
      <xdr:col>19</xdr:col>
      <xdr:colOff>447674</xdr:colOff>
      <xdr:row>133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35EA9D-3618-B5D2-539E-C43D04BC8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66674</xdr:colOff>
      <xdr:row>67</xdr:row>
      <xdr:rowOff>128587</xdr:rowOff>
    </xdr:from>
    <xdr:to>
      <xdr:col>41</xdr:col>
      <xdr:colOff>514349</xdr:colOff>
      <xdr:row>85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05BE7B-5364-159B-2C02-D1703017E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161924</xdr:colOff>
      <xdr:row>67</xdr:row>
      <xdr:rowOff>338136</xdr:rowOff>
    </xdr:from>
    <xdr:to>
      <xdr:col>41</xdr:col>
      <xdr:colOff>561975</xdr:colOff>
      <xdr:row>80</xdr:row>
      <xdr:rowOff>1162049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E567AE-5162-04F0-D06C-CD7F9BE16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104775</xdr:colOff>
      <xdr:row>97</xdr:row>
      <xdr:rowOff>119062</xdr:rowOff>
    </xdr:from>
    <xdr:to>
      <xdr:col>34</xdr:col>
      <xdr:colOff>66675</xdr:colOff>
      <xdr:row>113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53BF7B-9FE6-9928-28DF-688249C46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180974</xdr:colOff>
      <xdr:row>115</xdr:row>
      <xdr:rowOff>166686</xdr:rowOff>
    </xdr:from>
    <xdr:to>
      <xdr:col>33</xdr:col>
      <xdr:colOff>228599</xdr:colOff>
      <xdr:row>139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60473F-59F0-99F5-3C91-8A0E54B5B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104774</xdr:colOff>
      <xdr:row>67</xdr:row>
      <xdr:rowOff>204787</xdr:rowOff>
    </xdr:from>
    <xdr:to>
      <xdr:col>18</xdr:col>
      <xdr:colOff>457199</xdr:colOff>
      <xdr:row>80</xdr:row>
      <xdr:rowOff>866775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AF4972-BDDE-C2E0-B330-EAFDDF97D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80</xdr:row>
      <xdr:rowOff>1185862</xdr:rowOff>
    </xdr:from>
    <xdr:to>
      <xdr:col>11</xdr:col>
      <xdr:colOff>19050</xdr:colOff>
      <xdr:row>98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2A3769-BF14-7FCA-D6FD-67D702247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ngw\OneDrive\Documents\GitHub\SISR%20Script\Experiments%20data\Contraction%20Limit\Contraction_Limit_4elt_Graph.xlsx" TargetMode="External"/><Relationship Id="rId1" Type="http://schemas.openxmlformats.org/officeDocument/2006/relationships/externalLinkPath" Target="/Users/fengw/OneDrive/Documents/GitHub/SISR%20Script/Experiments%20data/Contraction%20Limit/Contraction_Limit_4elt_Gra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ge Cuts"/>
      <sheetName val="Runtimes"/>
      <sheetName val="CCM"/>
      <sheetName val="Contiguity"/>
    </sheetNames>
    <sheetDataSet>
      <sheetData sheetId="0" refreshError="1"/>
      <sheetData sheetId="1" refreshError="1"/>
      <sheetData sheetId="2">
        <row r="80">
          <cell r="B80" t="str">
            <v>KaMinPar</v>
          </cell>
          <cell r="C80" t="str">
            <v>KaHIP</v>
          </cell>
        </row>
        <row r="81">
          <cell r="A81">
            <v>0.15</v>
          </cell>
          <cell r="B81">
            <v>0.26151999999999997</v>
          </cell>
          <cell r="C81">
            <v>0.25119999999999998</v>
          </cell>
        </row>
        <row r="82">
          <cell r="A82">
            <v>0.35</v>
          </cell>
          <cell r="B82">
            <v>0.25800000000000001</v>
          </cell>
          <cell r="C82">
            <v>0.25119999999999998</v>
          </cell>
        </row>
        <row r="83">
          <cell r="A83">
            <v>0.55000000000000004</v>
          </cell>
          <cell r="B83">
            <v>0.71839999999999993</v>
          </cell>
          <cell r="C83">
            <v>0.25119999999999998</v>
          </cell>
        </row>
        <row r="84">
          <cell r="A84">
            <v>0.7</v>
          </cell>
          <cell r="B84">
            <v>0.25840000000000007</v>
          </cell>
          <cell r="C84">
            <v>0.25119999999999998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1AB4-40A2-4705-9AF1-EE47439E77C4}">
  <dimension ref="A1:AM96"/>
  <sheetViews>
    <sheetView tabSelected="1" topLeftCell="O62" workbookViewId="0">
      <selection activeCell="AE76" sqref="AE76"/>
    </sheetView>
  </sheetViews>
  <sheetFormatPr defaultRowHeight="15" x14ac:dyDescent="0.25"/>
  <sheetData>
    <row r="1" spans="1:39" x14ac:dyDescent="0.25">
      <c r="A1" s="18" t="s">
        <v>4</v>
      </c>
      <c r="B1" s="18"/>
      <c r="C1" s="18"/>
      <c r="D1" s="18"/>
      <c r="E1" s="18"/>
      <c r="F1" s="18"/>
      <c r="G1" s="18"/>
      <c r="J1" s="18" t="s">
        <v>15</v>
      </c>
      <c r="K1" s="18"/>
      <c r="L1" s="18"/>
      <c r="M1" s="18"/>
      <c r="N1" s="18"/>
      <c r="O1" s="18"/>
      <c r="P1" s="18"/>
      <c r="U1" s="18" t="s">
        <v>16</v>
      </c>
      <c r="V1" s="18"/>
      <c r="W1" s="18"/>
      <c r="X1" s="18"/>
      <c r="Y1" s="18"/>
      <c r="Z1" s="18"/>
      <c r="AA1" s="18"/>
      <c r="AG1" s="18" t="s">
        <v>27</v>
      </c>
      <c r="AH1" s="18"/>
      <c r="AI1" s="18"/>
      <c r="AJ1" s="18"/>
      <c r="AK1" s="18"/>
      <c r="AL1" s="18"/>
      <c r="AM1" s="18"/>
    </row>
    <row r="2" spans="1:39" x14ac:dyDescent="0.25">
      <c r="C2" t="s">
        <v>3</v>
      </c>
      <c r="J2" s="11" t="s">
        <v>62</v>
      </c>
      <c r="K2" s="11"/>
      <c r="L2" s="11"/>
      <c r="M2" s="11"/>
      <c r="N2" s="11"/>
      <c r="O2" s="11"/>
      <c r="P2" s="11"/>
      <c r="U2" s="11" t="s">
        <v>62</v>
      </c>
      <c r="V2" s="11"/>
      <c r="W2" s="11"/>
      <c r="X2" s="11"/>
      <c r="Y2" s="11"/>
      <c r="Z2" s="11"/>
      <c r="AA2" s="11"/>
      <c r="AG2" s="11" t="s">
        <v>62</v>
      </c>
      <c r="AH2" s="11"/>
      <c r="AI2" s="11"/>
      <c r="AJ2" s="11"/>
      <c r="AK2" s="11"/>
      <c r="AL2" s="11"/>
      <c r="AM2" s="11"/>
    </row>
    <row r="3" spans="1:39" x14ac:dyDescent="0.25">
      <c r="A3" s="11" t="s">
        <v>62</v>
      </c>
      <c r="B3" s="11"/>
      <c r="C3" s="11"/>
      <c r="D3" s="11"/>
      <c r="E3" s="11"/>
      <c r="F3" s="11"/>
      <c r="G3" s="11"/>
      <c r="J3" s="13" t="s">
        <v>15</v>
      </c>
      <c r="K3" s="14"/>
      <c r="L3" s="14"/>
      <c r="M3" s="14"/>
      <c r="N3" s="14"/>
      <c r="O3" s="14"/>
      <c r="P3" s="15"/>
      <c r="U3" s="10" t="s">
        <v>16</v>
      </c>
      <c r="V3" s="10"/>
      <c r="W3" s="10"/>
      <c r="X3" s="10"/>
      <c r="Y3" s="10"/>
      <c r="Z3" s="10"/>
      <c r="AA3" s="10"/>
      <c r="AG3" s="13" t="s">
        <v>2</v>
      </c>
      <c r="AH3" s="14"/>
      <c r="AI3" s="14"/>
      <c r="AJ3" s="14"/>
      <c r="AK3" s="14"/>
      <c r="AL3" s="14"/>
      <c r="AM3" s="15"/>
    </row>
    <row r="4" spans="1:39" ht="34.5" customHeight="1" x14ac:dyDescent="0.25">
      <c r="A4" s="10" t="s">
        <v>4</v>
      </c>
      <c r="B4" s="10"/>
      <c r="C4" s="10"/>
      <c r="D4" s="10"/>
      <c r="E4" s="10"/>
      <c r="F4" s="10"/>
      <c r="G4" s="10"/>
      <c r="J4" s="7"/>
      <c r="K4" s="1" t="s">
        <v>5</v>
      </c>
      <c r="L4" s="6" t="s">
        <v>6</v>
      </c>
      <c r="M4" s="1" t="s">
        <v>7</v>
      </c>
      <c r="N4" s="6" t="s">
        <v>8</v>
      </c>
      <c r="O4" s="1" t="s">
        <v>1</v>
      </c>
      <c r="P4" s="1" t="s">
        <v>0</v>
      </c>
      <c r="U4" s="5"/>
      <c r="V4" s="1" t="s">
        <v>5</v>
      </c>
      <c r="W4" s="6" t="s">
        <v>6</v>
      </c>
      <c r="X4" s="1" t="s">
        <v>7</v>
      </c>
      <c r="Y4" s="6" t="s">
        <v>8</v>
      </c>
      <c r="Z4" s="1" t="s">
        <v>1</v>
      </c>
      <c r="AA4" s="1" t="s">
        <v>0</v>
      </c>
      <c r="AG4" s="7"/>
      <c r="AH4" s="1" t="s">
        <v>5</v>
      </c>
      <c r="AI4" s="6" t="s">
        <v>6</v>
      </c>
      <c r="AJ4" s="1" t="s">
        <v>7</v>
      </c>
      <c r="AK4" s="6" t="s">
        <v>8</v>
      </c>
      <c r="AL4" s="1" t="s">
        <v>1</v>
      </c>
      <c r="AM4" s="1" t="s">
        <v>0</v>
      </c>
    </row>
    <row r="5" spans="1:39" ht="56.25" customHeight="1" x14ac:dyDescent="0.25">
      <c r="A5" s="5"/>
      <c r="B5" s="1" t="s">
        <v>5</v>
      </c>
      <c r="C5" s="6" t="s">
        <v>6</v>
      </c>
      <c r="D5" s="1" t="s">
        <v>7</v>
      </c>
      <c r="E5" s="6" t="s">
        <v>8</v>
      </c>
      <c r="F5" s="1" t="s">
        <v>1</v>
      </c>
      <c r="G5" s="1" t="s">
        <v>0</v>
      </c>
      <c r="J5" s="1" t="s">
        <v>9</v>
      </c>
      <c r="K5">
        <v>287.61700000000002</v>
      </c>
      <c r="L5">
        <v>339.68700000000001</v>
      </c>
      <c r="M5">
        <v>10.606</v>
      </c>
      <c r="N5">
        <v>1.1459999999999999</v>
      </c>
      <c r="O5">
        <v>1.6719999999999999</v>
      </c>
      <c r="P5">
        <v>0.82399999999999995</v>
      </c>
      <c r="U5" s="1" t="s">
        <v>9</v>
      </c>
      <c r="V5">
        <v>0</v>
      </c>
      <c r="W5">
        <v>0</v>
      </c>
      <c r="X5">
        <v>0</v>
      </c>
      <c r="Z5">
        <v>0.27900000000000003</v>
      </c>
      <c r="AA5">
        <v>0.27700000000000002</v>
      </c>
      <c r="AG5" s="1" t="s">
        <v>9</v>
      </c>
      <c r="AH5">
        <v>259</v>
      </c>
      <c r="AI5">
        <v>229</v>
      </c>
      <c r="AJ5">
        <v>1782</v>
      </c>
      <c r="AK5">
        <v>1627</v>
      </c>
      <c r="AL5">
        <v>8</v>
      </c>
      <c r="AM5">
        <v>4</v>
      </c>
    </row>
    <row r="6" spans="1:39" x14ac:dyDescent="0.25">
      <c r="A6" s="1" t="s">
        <v>9</v>
      </c>
      <c r="B6">
        <v>4522</v>
      </c>
      <c r="C6">
        <v>5390</v>
      </c>
      <c r="D6">
        <v>7839</v>
      </c>
      <c r="E6">
        <v>8018</v>
      </c>
      <c r="F6">
        <v>768</v>
      </c>
      <c r="G6">
        <v>1271</v>
      </c>
      <c r="J6" s="1" t="s">
        <v>10</v>
      </c>
      <c r="K6">
        <v>272.90499999999997</v>
      </c>
      <c r="L6">
        <v>329.60300000000001</v>
      </c>
      <c r="M6">
        <v>7.6289999999999996</v>
      </c>
      <c r="N6">
        <v>1.4470000000000001</v>
      </c>
      <c r="O6">
        <v>1.383</v>
      </c>
      <c r="P6">
        <v>0.80400000000000005</v>
      </c>
      <c r="U6" s="1" t="s">
        <v>10</v>
      </c>
      <c r="V6">
        <v>0</v>
      </c>
      <c r="W6">
        <v>0</v>
      </c>
      <c r="Z6">
        <v>0.27900000000000003</v>
      </c>
      <c r="AA6">
        <v>0.28399999999999997</v>
      </c>
      <c r="AG6" s="1" t="s">
        <v>10</v>
      </c>
      <c r="AH6">
        <v>284</v>
      </c>
      <c r="AI6">
        <v>206</v>
      </c>
      <c r="AJ6">
        <v>1761</v>
      </c>
      <c r="AK6">
        <v>1718</v>
      </c>
      <c r="AL6">
        <v>8</v>
      </c>
      <c r="AM6">
        <v>9</v>
      </c>
    </row>
    <row r="7" spans="1:39" x14ac:dyDescent="0.25">
      <c r="A7" s="1" t="s">
        <v>10</v>
      </c>
      <c r="B7">
        <v>4499</v>
      </c>
      <c r="C7">
        <v>5582</v>
      </c>
      <c r="D7">
        <v>8139</v>
      </c>
      <c r="E7">
        <v>8283</v>
      </c>
      <c r="F7">
        <v>745</v>
      </c>
      <c r="G7">
        <v>1376</v>
      </c>
      <c r="J7" s="1" t="s">
        <v>11</v>
      </c>
      <c r="K7">
        <v>318.31200000000001</v>
      </c>
      <c r="L7">
        <v>248.59200000000001</v>
      </c>
      <c r="M7">
        <v>9.3480000000000008</v>
      </c>
      <c r="N7">
        <v>1.2130000000000001</v>
      </c>
      <c r="O7">
        <v>1.667</v>
      </c>
      <c r="P7">
        <v>0.77900000000000003</v>
      </c>
      <c r="U7" s="1" t="s">
        <v>11</v>
      </c>
      <c r="V7">
        <v>0</v>
      </c>
      <c r="W7">
        <v>0</v>
      </c>
      <c r="Z7">
        <v>0.27900000000000003</v>
      </c>
      <c r="AA7">
        <v>0.28199999999999997</v>
      </c>
      <c r="AG7" s="1" t="s">
        <v>11</v>
      </c>
      <c r="AH7">
        <v>106</v>
      </c>
      <c r="AI7">
        <v>181</v>
      </c>
      <c r="AJ7">
        <v>1658</v>
      </c>
      <c r="AK7">
        <v>1710</v>
      </c>
      <c r="AL7">
        <v>8</v>
      </c>
      <c r="AM7">
        <v>17</v>
      </c>
    </row>
    <row r="8" spans="1:39" x14ac:dyDescent="0.25">
      <c r="A8" s="1" t="s">
        <v>11</v>
      </c>
      <c r="B8">
        <v>4543</v>
      </c>
      <c r="C8">
        <v>4219</v>
      </c>
      <c r="D8">
        <v>7879</v>
      </c>
      <c r="E8">
        <v>7693</v>
      </c>
      <c r="F8">
        <v>769</v>
      </c>
      <c r="G8">
        <v>1302</v>
      </c>
      <c r="J8" s="1" t="s">
        <v>12</v>
      </c>
      <c r="K8">
        <v>342.27</v>
      </c>
      <c r="L8">
        <v>222.32599999999999</v>
      </c>
      <c r="M8">
        <v>11.31</v>
      </c>
      <c r="N8">
        <v>1.556</v>
      </c>
      <c r="O8">
        <v>1.823</v>
      </c>
      <c r="P8">
        <v>0.86699999999999999</v>
      </c>
      <c r="U8" s="1" t="s">
        <v>12</v>
      </c>
      <c r="V8">
        <v>0</v>
      </c>
      <c r="W8">
        <v>0</v>
      </c>
      <c r="Z8">
        <v>0.28299999999999997</v>
      </c>
      <c r="AA8">
        <v>0.27889999999999998</v>
      </c>
      <c r="AG8" s="1" t="s">
        <v>12</v>
      </c>
      <c r="AH8">
        <v>198</v>
      </c>
      <c r="AI8">
        <v>70</v>
      </c>
      <c r="AJ8">
        <v>1808</v>
      </c>
      <c r="AK8">
        <v>1554</v>
      </c>
      <c r="AL8">
        <v>6</v>
      </c>
      <c r="AM8">
        <v>5</v>
      </c>
    </row>
    <row r="9" spans="1:39" x14ac:dyDescent="0.25">
      <c r="A9" s="1" t="s">
        <v>12</v>
      </c>
      <c r="B9">
        <v>3970</v>
      </c>
      <c r="C9">
        <v>5668</v>
      </c>
      <c r="D9">
        <v>8268</v>
      </c>
      <c r="E9">
        <v>7194</v>
      </c>
      <c r="F9">
        <v>767</v>
      </c>
      <c r="G9">
        <v>1273</v>
      </c>
      <c r="J9" s="1" t="s">
        <v>13</v>
      </c>
      <c r="K9">
        <v>361.11</v>
      </c>
      <c r="L9">
        <v>293.07299999999998</v>
      </c>
      <c r="M9">
        <v>4.1989999999999998</v>
      </c>
      <c r="N9">
        <v>1.298</v>
      </c>
      <c r="O9">
        <v>1.7250000000000001</v>
      </c>
      <c r="P9">
        <v>0.77500000000000002</v>
      </c>
      <c r="U9" s="1" t="s">
        <v>13</v>
      </c>
      <c r="V9">
        <v>0</v>
      </c>
      <c r="W9">
        <v>0</v>
      </c>
      <c r="Z9">
        <v>0.27800000000000002</v>
      </c>
      <c r="AA9">
        <v>0.26300000000000001</v>
      </c>
      <c r="AG9" s="1" t="s">
        <v>13</v>
      </c>
      <c r="AH9">
        <v>356</v>
      </c>
      <c r="AI9">
        <v>167</v>
      </c>
      <c r="AJ9">
        <v>2271</v>
      </c>
      <c r="AK9">
        <v>1691</v>
      </c>
      <c r="AL9">
        <v>23</v>
      </c>
      <c r="AM9">
        <v>10</v>
      </c>
    </row>
    <row r="10" spans="1:39" x14ac:dyDescent="0.25">
      <c r="A10" s="1" t="s">
        <v>13</v>
      </c>
      <c r="B10">
        <v>5796</v>
      </c>
      <c r="C10">
        <v>4497</v>
      </c>
      <c r="D10">
        <v>8491</v>
      </c>
      <c r="E10">
        <v>7985</v>
      </c>
      <c r="F10">
        <v>734</v>
      </c>
      <c r="G10">
        <v>1285</v>
      </c>
    </row>
    <row r="11" spans="1:39" x14ac:dyDescent="0.25">
      <c r="U11" s="16" t="s">
        <v>17</v>
      </c>
      <c r="V11" s="16"/>
      <c r="W11" s="16"/>
    </row>
    <row r="12" spans="1:39" x14ac:dyDescent="0.25">
      <c r="V12" s="1" t="s">
        <v>0</v>
      </c>
      <c r="W12" s="1" t="s">
        <v>1</v>
      </c>
    </row>
    <row r="13" spans="1:39" x14ac:dyDescent="0.25">
      <c r="U13" s="1" t="s">
        <v>9</v>
      </c>
      <c r="V13" s="4">
        <v>0.30005300000000001</v>
      </c>
      <c r="W13" s="4">
        <v>0.30187999999999998</v>
      </c>
    </row>
    <row r="14" spans="1:39" x14ac:dyDescent="0.25">
      <c r="J14" s="11" t="s">
        <v>63</v>
      </c>
      <c r="K14" s="11"/>
      <c r="L14" s="11"/>
      <c r="M14" s="11"/>
      <c r="N14" s="11"/>
      <c r="O14" s="11"/>
      <c r="P14" s="11"/>
      <c r="U14" s="1" t="s">
        <v>10</v>
      </c>
      <c r="V14" s="4">
        <v>0.31176999999999999</v>
      </c>
      <c r="W14" s="4">
        <v>0.30216999999999999</v>
      </c>
      <c r="AG14" s="11" t="s">
        <v>63</v>
      </c>
      <c r="AH14" s="11"/>
      <c r="AI14" s="11"/>
      <c r="AJ14" s="11"/>
      <c r="AK14" s="11"/>
      <c r="AL14" s="11"/>
      <c r="AM14" s="11"/>
    </row>
    <row r="15" spans="1:39" x14ac:dyDescent="0.25">
      <c r="C15" t="s">
        <v>3</v>
      </c>
      <c r="J15" s="13" t="s">
        <v>15</v>
      </c>
      <c r="K15" s="14"/>
      <c r="L15" s="14"/>
      <c r="M15" s="14"/>
      <c r="N15" s="14"/>
      <c r="O15" s="14"/>
      <c r="P15" s="15"/>
      <c r="U15" s="1" t="s">
        <v>11</v>
      </c>
      <c r="V15" s="4">
        <v>0.30499999999999999</v>
      </c>
      <c r="W15" s="4">
        <v>0.28015800000000002</v>
      </c>
      <c r="AG15" s="13" t="s">
        <v>2</v>
      </c>
      <c r="AH15" s="14"/>
      <c r="AI15" s="14"/>
      <c r="AJ15" s="14"/>
      <c r="AK15" s="14"/>
      <c r="AL15" s="14"/>
      <c r="AM15" s="15"/>
    </row>
    <row r="16" spans="1:39" ht="25.5" customHeight="1" x14ac:dyDescent="0.25">
      <c r="A16" s="11" t="s">
        <v>63</v>
      </c>
      <c r="B16" s="11"/>
      <c r="C16" s="11"/>
      <c r="D16" s="11"/>
      <c r="E16" s="11"/>
      <c r="F16" s="11"/>
      <c r="G16" s="11"/>
      <c r="J16" s="7"/>
      <c r="K16" s="1" t="s">
        <v>5</v>
      </c>
      <c r="L16" s="6" t="s">
        <v>6</v>
      </c>
      <c r="M16" s="1" t="s">
        <v>7</v>
      </c>
      <c r="N16" s="6" t="s">
        <v>8</v>
      </c>
      <c r="O16" s="1" t="s">
        <v>1</v>
      </c>
      <c r="P16" s="1" t="s">
        <v>0</v>
      </c>
      <c r="U16" s="1" t="s">
        <v>12</v>
      </c>
      <c r="V16" s="4">
        <v>0.30619000000000002</v>
      </c>
      <c r="W16" s="4">
        <v>0.30586000000000002</v>
      </c>
      <c r="AG16" s="7"/>
      <c r="AH16" s="1" t="s">
        <v>5</v>
      </c>
      <c r="AI16" s="6" t="s">
        <v>6</v>
      </c>
      <c r="AJ16" s="1" t="s">
        <v>7</v>
      </c>
      <c r="AK16" s="6" t="s">
        <v>8</v>
      </c>
      <c r="AL16" s="1" t="s">
        <v>1</v>
      </c>
      <c r="AM16" s="1" t="s">
        <v>0</v>
      </c>
    </row>
    <row r="17" spans="1:39" x14ac:dyDescent="0.25">
      <c r="A17" s="14" t="s">
        <v>4</v>
      </c>
      <c r="B17" s="14"/>
      <c r="C17" s="14"/>
      <c r="D17" s="14"/>
      <c r="E17" s="14"/>
      <c r="F17" s="14"/>
      <c r="G17" s="14"/>
      <c r="J17" s="1" t="s">
        <v>9</v>
      </c>
      <c r="K17">
        <v>55.119</v>
      </c>
      <c r="L17">
        <v>159.44399999999999</v>
      </c>
      <c r="M17">
        <v>3.1819999999999999</v>
      </c>
      <c r="N17">
        <v>1.587</v>
      </c>
      <c r="O17">
        <v>1.875</v>
      </c>
      <c r="P17">
        <v>0.82399999999999995</v>
      </c>
      <c r="U17" s="1" t="s">
        <v>13</v>
      </c>
      <c r="V17" s="4">
        <v>0.28906999999999999</v>
      </c>
      <c r="W17" s="4">
        <v>0.30046</v>
      </c>
      <c r="AG17" s="1" t="s">
        <v>9</v>
      </c>
      <c r="AH17">
        <v>648</v>
      </c>
      <c r="AI17">
        <v>44</v>
      </c>
      <c r="AJ17">
        <v>2941</v>
      </c>
      <c r="AK17">
        <v>1351</v>
      </c>
      <c r="AL17">
        <v>19</v>
      </c>
      <c r="AM17">
        <v>4</v>
      </c>
    </row>
    <row r="18" spans="1:39" ht="33" customHeight="1" x14ac:dyDescent="0.25">
      <c r="A18" s="5"/>
      <c r="B18" s="1" t="s">
        <v>5</v>
      </c>
      <c r="C18" s="6" t="s">
        <v>6</v>
      </c>
      <c r="D18" s="1" t="s">
        <v>7</v>
      </c>
      <c r="E18" s="6" t="s">
        <v>8</v>
      </c>
      <c r="F18" s="1" t="s">
        <v>1</v>
      </c>
      <c r="G18" s="1" t="s">
        <v>0</v>
      </c>
      <c r="J18" s="1" t="s">
        <v>10</v>
      </c>
      <c r="K18">
        <v>134.61699999999999</v>
      </c>
      <c r="L18">
        <v>127.81699999999999</v>
      </c>
      <c r="M18">
        <v>3.2450000000000001</v>
      </c>
      <c r="N18">
        <v>1.2430000000000001</v>
      </c>
      <c r="O18">
        <v>1.81</v>
      </c>
      <c r="P18">
        <v>0.80400000000000005</v>
      </c>
      <c r="AG18" s="1" t="s">
        <v>10</v>
      </c>
      <c r="AH18">
        <v>356</v>
      </c>
      <c r="AI18">
        <v>769</v>
      </c>
      <c r="AJ18">
        <v>3408</v>
      </c>
      <c r="AK18">
        <v>1615</v>
      </c>
      <c r="AL18">
        <v>11</v>
      </c>
      <c r="AM18">
        <v>9</v>
      </c>
    </row>
    <row r="19" spans="1:39" x14ac:dyDescent="0.25">
      <c r="A19" s="1" t="s">
        <v>9</v>
      </c>
      <c r="B19">
        <v>4160</v>
      </c>
      <c r="C19">
        <v>5060</v>
      </c>
      <c r="D19">
        <v>9418</v>
      </c>
      <c r="E19">
        <v>7138</v>
      </c>
      <c r="F19">
        <v>733</v>
      </c>
      <c r="G19">
        <v>1271</v>
      </c>
      <c r="J19" s="1" t="s">
        <v>11</v>
      </c>
      <c r="K19">
        <v>120.911</v>
      </c>
      <c r="L19">
        <v>143.85300000000001</v>
      </c>
      <c r="M19">
        <v>6.5970000000000004</v>
      </c>
      <c r="N19">
        <v>1.407</v>
      </c>
      <c r="O19">
        <v>1.734</v>
      </c>
      <c r="P19">
        <v>0.77900000000000003</v>
      </c>
      <c r="AG19" s="1" t="s">
        <v>11</v>
      </c>
      <c r="AH19">
        <v>463</v>
      </c>
      <c r="AI19">
        <v>262</v>
      </c>
      <c r="AJ19">
        <v>2494</v>
      </c>
      <c r="AK19">
        <v>1532</v>
      </c>
      <c r="AL19">
        <v>26</v>
      </c>
      <c r="AM19">
        <v>17</v>
      </c>
    </row>
    <row r="20" spans="1:39" x14ac:dyDescent="0.25">
      <c r="A20" s="1" t="s">
        <v>10</v>
      </c>
      <c r="B20">
        <v>5273</v>
      </c>
      <c r="C20">
        <v>6060</v>
      </c>
      <c r="D20">
        <v>10084</v>
      </c>
      <c r="E20">
        <v>7670</v>
      </c>
      <c r="F20">
        <v>735</v>
      </c>
      <c r="G20">
        <v>1376</v>
      </c>
      <c r="J20" s="1" t="s">
        <v>12</v>
      </c>
      <c r="K20">
        <v>146.965</v>
      </c>
      <c r="L20">
        <v>131.99199999999999</v>
      </c>
      <c r="M20">
        <v>13.036</v>
      </c>
      <c r="N20">
        <v>1.7509999999999999</v>
      </c>
      <c r="O20">
        <v>1.764</v>
      </c>
      <c r="P20">
        <v>0.86699999999999999</v>
      </c>
      <c r="AG20" s="1" t="s">
        <v>12</v>
      </c>
      <c r="AH20">
        <v>100</v>
      </c>
      <c r="AI20">
        <v>341</v>
      </c>
      <c r="AJ20">
        <v>1571</v>
      </c>
      <c r="AK20">
        <v>1456</v>
      </c>
      <c r="AL20">
        <v>23</v>
      </c>
      <c r="AM20">
        <v>5</v>
      </c>
    </row>
    <row r="21" spans="1:39" x14ac:dyDescent="0.25">
      <c r="A21" s="1" t="s">
        <v>11</v>
      </c>
      <c r="B21">
        <v>5697</v>
      </c>
      <c r="C21">
        <v>4878</v>
      </c>
      <c r="D21">
        <v>8917</v>
      </c>
      <c r="E21">
        <v>7283</v>
      </c>
      <c r="F21">
        <v>770</v>
      </c>
      <c r="G21">
        <v>1302</v>
      </c>
      <c r="J21" s="1" t="s">
        <v>13</v>
      </c>
      <c r="K21">
        <v>133.751</v>
      </c>
      <c r="L21">
        <v>142.07599999999999</v>
      </c>
      <c r="M21">
        <v>3.0870000000000002</v>
      </c>
      <c r="N21">
        <v>1.4590000000000001</v>
      </c>
      <c r="O21">
        <v>1.7010000000000001</v>
      </c>
      <c r="P21">
        <v>0.77500000000000002</v>
      </c>
      <c r="AG21" s="1" t="s">
        <v>13</v>
      </c>
      <c r="AH21">
        <v>721</v>
      </c>
      <c r="AI21">
        <v>63</v>
      </c>
      <c r="AJ21">
        <v>2266</v>
      </c>
      <c r="AK21">
        <v>1464</v>
      </c>
      <c r="AL21">
        <v>36</v>
      </c>
      <c r="AM21">
        <v>10</v>
      </c>
    </row>
    <row r="22" spans="1:39" x14ac:dyDescent="0.25">
      <c r="A22" s="1" t="s">
        <v>12</v>
      </c>
      <c r="B22">
        <v>4591</v>
      </c>
      <c r="C22">
        <v>5554</v>
      </c>
      <c r="D22">
        <v>7108</v>
      </c>
      <c r="E22">
        <v>7162</v>
      </c>
      <c r="F22">
        <v>718</v>
      </c>
      <c r="G22">
        <v>1273</v>
      </c>
      <c r="U22" s="11" t="s">
        <v>63</v>
      </c>
      <c r="V22" s="11"/>
      <c r="W22" s="11"/>
      <c r="X22" s="11"/>
      <c r="Y22" s="11"/>
      <c r="Z22" s="11"/>
      <c r="AA22" s="11"/>
    </row>
    <row r="23" spans="1:39" x14ac:dyDescent="0.25">
      <c r="A23" s="1" t="s">
        <v>13</v>
      </c>
      <c r="B23">
        <v>5500</v>
      </c>
      <c r="C23">
        <v>4845</v>
      </c>
      <c r="D23">
        <v>8077</v>
      </c>
      <c r="E23">
        <v>6899</v>
      </c>
      <c r="F23">
        <v>731</v>
      </c>
      <c r="G23">
        <v>1285</v>
      </c>
      <c r="U23" s="10" t="s">
        <v>16</v>
      </c>
      <c r="V23" s="10"/>
      <c r="W23" s="10"/>
      <c r="X23" s="10"/>
      <c r="Y23" s="10"/>
      <c r="Z23" s="10"/>
      <c r="AA23" s="10"/>
    </row>
    <row r="24" spans="1:39" ht="105" x14ac:dyDescent="0.25">
      <c r="U24" s="5"/>
      <c r="V24" s="1" t="s">
        <v>5</v>
      </c>
      <c r="W24" s="6" t="s">
        <v>6</v>
      </c>
      <c r="X24" s="1" t="s">
        <v>7</v>
      </c>
      <c r="Y24" s="6" t="s">
        <v>8</v>
      </c>
      <c r="Z24" s="1" t="s">
        <v>1</v>
      </c>
      <c r="AA24" s="1" t="s">
        <v>0</v>
      </c>
    </row>
    <row r="25" spans="1:39" x14ac:dyDescent="0.25">
      <c r="J25" s="11" t="s">
        <v>64</v>
      </c>
      <c r="K25" s="11"/>
      <c r="L25" s="11"/>
      <c r="M25" s="11"/>
      <c r="N25" s="11"/>
      <c r="O25" s="11"/>
      <c r="P25" s="11"/>
      <c r="U25" s="1" t="s">
        <v>9</v>
      </c>
      <c r="V25">
        <v>0</v>
      </c>
      <c r="W25">
        <v>0</v>
      </c>
      <c r="Z25">
        <v>0.27100000000000002</v>
      </c>
      <c r="AA25">
        <v>0.27700000000000002</v>
      </c>
      <c r="AG25" s="11" t="s">
        <v>64</v>
      </c>
      <c r="AH25" s="11"/>
      <c r="AI25" s="11"/>
      <c r="AJ25" s="11"/>
      <c r="AK25" s="11"/>
      <c r="AL25" s="11"/>
      <c r="AM25" s="11"/>
    </row>
    <row r="26" spans="1:39" x14ac:dyDescent="0.25">
      <c r="J26" s="13" t="s">
        <v>15</v>
      </c>
      <c r="K26" s="14"/>
      <c r="L26" s="14"/>
      <c r="M26" s="14"/>
      <c r="N26" s="14"/>
      <c r="O26" s="14"/>
      <c r="P26" s="15"/>
      <c r="U26" s="1" t="s">
        <v>10</v>
      </c>
      <c r="V26">
        <v>0</v>
      </c>
      <c r="W26">
        <v>0</v>
      </c>
      <c r="Z26">
        <v>0.26900000000000002</v>
      </c>
      <c r="AA26">
        <v>0.28399999999999997</v>
      </c>
      <c r="AG26" s="13" t="s">
        <v>2</v>
      </c>
      <c r="AH26" s="14"/>
      <c r="AI26" s="14"/>
      <c r="AJ26" s="14"/>
      <c r="AK26" s="14"/>
      <c r="AL26" s="14"/>
      <c r="AM26" s="15"/>
    </row>
    <row r="27" spans="1:39" ht="39.75" customHeight="1" x14ac:dyDescent="0.25">
      <c r="J27" s="7"/>
      <c r="K27" s="1" t="s">
        <v>5</v>
      </c>
      <c r="L27" s="6" t="s">
        <v>6</v>
      </c>
      <c r="M27" s="1" t="s">
        <v>7</v>
      </c>
      <c r="N27" s="6" t="s">
        <v>8</v>
      </c>
      <c r="O27" s="1" t="s">
        <v>1</v>
      </c>
      <c r="P27" s="1" t="s">
        <v>0</v>
      </c>
      <c r="U27" s="1" t="s">
        <v>11</v>
      </c>
      <c r="V27">
        <v>0</v>
      </c>
      <c r="W27">
        <v>0</v>
      </c>
      <c r="Z27">
        <v>0.26600000000000001</v>
      </c>
      <c r="AA27">
        <v>0.28199999999999997</v>
      </c>
      <c r="AG27" s="7"/>
      <c r="AH27" s="1" t="s">
        <v>5</v>
      </c>
      <c r="AI27" s="6" t="s">
        <v>6</v>
      </c>
      <c r="AJ27" s="1" t="s">
        <v>7</v>
      </c>
      <c r="AK27" s="6" t="s">
        <v>8</v>
      </c>
      <c r="AL27" s="1" t="s">
        <v>1</v>
      </c>
      <c r="AM27" s="1" t="s">
        <v>0</v>
      </c>
    </row>
    <row r="28" spans="1:39" x14ac:dyDescent="0.25">
      <c r="C28" t="s">
        <v>3</v>
      </c>
      <c r="J28" s="1" t="s">
        <v>9</v>
      </c>
      <c r="K28">
        <v>51.326999999999998</v>
      </c>
      <c r="L28">
        <v>58.094000000000001</v>
      </c>
      <c r="M28">
        <v>4.4379999999999997</v>
      </c>
      <c r="N28">
        <v>1.3420000000000001</v>
      </c>
      <c r="O28">
        <v>1.649</v>
      </c>
      <c r="P28">
        <v>0.82399999999999995</v>
      </c>
      <c r="U28" s="1" t="s">
        <v>12</v>
      </c>
      <c r="V28">
        <v>0</v>
      </c>
      <c r="W28">
        <v>0</v>
      </c>
      <c r="Z28">
        <v>0.27200000000000002</v>
      </c>
      <c r="AA28">
        <v>0.27889999999999998</v>
      </c>
      <c r="AG28" s="1" t="s">
        <v>9</v>
      </c>
      <c r="AH28">
        <v>642</v>
      </c>
      <c r="AI28">
        <v>572</v>
      </c>
      <c r="AJ28">
        <v>2824</v>
      </c>
      <c r="AK28">
        <v>1545</v>
      </c>
      <c r="AL28">
        <v>22</v>
      </c>
      <c r="AM28">
        <v>4</v>
      </c>
    </row>
    <row r="29" spans="1:39" x14ac:dyDescent="0.25">
      <c r="A29" s="11" t="s">
        <v>64</v>
      </c>
      <c r="B29" s="11"/>
      <c r="C29" s="11"/>
      <c r="D29" s="11"/>
      <c r="E29" s="11"/>
      <c r="F29" s="11"/>
      <c r="G29" s="11"/>
      <c r="J29" s="1" t="s">
        <v>10</v>
      </c>
      <c r="K29">
        <v>52.107999999999997</v>
      </c>
      <c r="L29">
        <v>53.09</v>
      </c>
      <c r="M29">
        <v>4.7969999999999997</v>
      </c>
      <c r="N29">
        <v>1.377</v>
      </c>
      <c r="O29">
        <v>1.577</v>
      </c>
      <c r="P29">
        <v>0.80400000000000005</v>
      </c>
      <c r="U29" s="1" t="s">
        <v>13</v>
      </c>
      <c r="V29">
        <v>0</v>
      </c>
      <c r="W29">
        <v>0</v>
      </c>
      <c r="Z29">
        <v>0.27500000000000002</v>
      </c>
      <c r="AA29">
        <v>0.26300000000000001</v>
      </c>
      <c r="AG29" s="1" t="s">
        <v>10</v>
      </c>
      <c r="AH29">
        <v>1029</v>
      </c>
      <c r="AI29">
        <v>309</v>
      </c>
      <c r="AJ29">
        <v>4032</v>
      </c>
      <c r="AK29">
        <v>1665</v>
      </c>
      <c r="AL29">
        <v>52</v>
      </c>
      <c r="AM29">
        <v>9</v>
      </c>
    </row>
    <row r="30" spans="1:39" x14ac:dyDescent="0.25">
      <c r="A30" s="10" t="s">
        <v>4</v>
      </c>
      <c r="B30" s="10"/>
      <c r="C30" s="10"/>
      <c r="D30" s="10"/>
      <c r="E30" s="10"/>
      <c r="F30" s="10"/>
      <c r="G30" s="10"/>
      <c r="J30" s="1" t="s">
        <v>11</v>
      </c>
      <c r="K30">
        <v>55.914000000000001</v>
      </c>
      <c r="L30">
        <v>52.424999999999997</v>
      </c>
      <c r="M30">
        <v>3.9260000000000002</v>
      </c>
      <c r="N30">
        <v>1.351</v>
      </c>
      <c r="O30">
        <v>1.649</v>
      </c>
      <c r="P30">
        <v>0.77900000000000003</v>
      </c>
      <c r="AG30" s="1" t="s">
        <v>11</v>
      </c>
      <c r="AH30">
        <v>789</v>
      </c>
      <c r="AI30">
        <v>476</v>
      </c>
      <c r="AJ30">
        <v>2779</v>
      </c>
      <c r="AK30">
        <v>1541</v>
      </c>
      <c r="AL30">
        <v>22</v>
      </c>
      <c r="AM30">
        <v>17</v>
      </c>
    </row>
    <row r="31" spans="1:39" ht="52.5" customHeight="1" x14ac:dyDescent="0.25">
      <c r="A31" s="5"/>
      <c r="B31" s="1" t="s">
        <v>5</v>
      </c>
      <c r="C31" s="6" t="s">
        <v>6</v>
      </c>
      <c r="D31" s="1" t="s">
        <v>7</v>
      </c>
      <c r="E31" s="6" t="s">
        <v>8</v>
      </c>
      <c r="F31" s="1" t="s">
        <v>1</v>
      </c>
      <c r="G31" s="1" t="s">
        <v>0</v>
      </c>
      <c r="J31" s="1" t="s">
        <v>12</v>
      </c>
      <c r="K31">
        <v>61.482999999999997</v>
      </c>
      <c r="L31">
        <v>65.745000000000005</v>
      </c>
      <c r="M31">
        <v>5.3339999999999996</v>
      </c>
      <c r="N31">
        <v>1.4259999999999999</v>
      </c>
      <c r="O31">
        <v>1.974</v>
      </c>
      <c r="P31">
        <v>0.86699999999999999</v>
      </c>
      <c r="U31" s="16" t="s">
        <v>17</v>
      </c>
      <c r="V31" s="16"/>
      <c r="W31" s="16"/>
      <c r="AG31" s="1" t="s">
        <v>12</v>
      </c>
      <c r="AH31">
        <v>630</v>
      </c>
      <c r="AI31">
        <v>239</v>
      </c>
      <c r="AJ31">
        <v>3182</v>
      </c>
      <c r="AK31">
        <v>1428</v>
      </c>
      <c r="AL31">
        <v>26</v>
      </c>
      <c r="AM31">
        <v>5</v>
      </c>
    </row>
    <row r="32" spans="1:39" x14ac:dyDescent="0.25">
      <c r="A32" s="1" t="s">
        <v>9</v>
      </c>
      <c r="B32">
        <v>4333</v>
      </c>
      <c r="C32">
        <v>3852</v>
      </c>
      <c r="D32">
        <v>7423</v>
      </c>
      <c r="E32">
        <v>5624</v>
      </c>
      <c r="F32">
        <v>800</v>
      </c>
      <c r="G32">
        <v>1271</v>
      </c>
      <c r="J32" s="1" t="s">
        <v>13</v>
      </c>
      <c r="K32">
        <v>56.595999999999997</v>
      </c>
      <c r="L32">
        <v>61.49</v>
      </c>
      <c r="M32">
        <v>6.96</v>
      </c>
      <c r="N32">
        <v>1.226</v>
      </c>
      <c r="O32">
        <v>1.7889999999999999</v>
      </c>
      <c r="P32">
        <v>0.77500000000000002</v>
      </c>
      <c r="V32" s="1" t="s">
        <v>0</v>
      </c>
      <c r="W32" s="1" t="s">
        <v>1</v>
      </c>
      <c r="AG32" s="1" t="s">
        <v>13</v>
      </c>
      <c r="AH32">
        <v>816</v>
      </c>
      <c r="AI32">
        <v>655</v>
      </c>
      <c r="AJ32">
        <v>3595</v>
      </c>
      <c r="AK32">
        <v>1377</v>
      </c>
      <c r="AL32">
        <v>16</v>
      </c>
      <c r="AM32">
        <v>10</v>
      </c>
    </row>
    <row r="33" spans="1:39" x14ac:dyDescent="0.25">
      <c r="A33" s="1" t="s">
        <v>10</v>
      </c>
      <c r="B33">
        <v>4412</v>
      </c>
      <c r="C33">
        <v>4168</v>
      </c>
      <c r="D33">
        <v>9731</v>
      </c>
      <c r="E33">
        <v>5460</v>
      </c>
      <c r="F33">
        <v>776</v>
      </c>
      <c r="G33">
        <v>1376</v>
      </c>
      <c r="U33" s="1" t="s">
        <v>9</v>
      </c>
      <c r="V33" s="4">
        <v>0.30005300000000001</v>
      </c>
      <c r="W33" s="4">
        <v>0.29454000000000002</v>
      </c>
    </row>
    <row r="34" spans="1:39" x14ac:dyDescent="0.25">
      <c r="A34" s="1" t="s">
        <v>11</v>
      </c>
      <c r="B34">
        <v>4332</v>
      </c>
      <c r="C34">
        <v>4000</v>
      </c>
      <c r="D34">
        <v>7030</v>
      </c>
      <c r="E34">
        <v>4976</v>
      </c>
      <c r="F34">
        <v>743</v>
      </c>
      <c r="G34">
        <v>1302</v>
      </c>
      <c r="U34" s="1" t="s">
        <v>10</v>
      </c>
      <c r="V34" s="4">
        <v>0.31176999999999999</v>
      </c>
      <c r="W34" s="4">
        <v>0.29216999999999999</v>
      </c>
    </row>
    <row r="35" spans="1:39" x14ac:dyDescent="0.25">
      <c r="A35" s="1" t="s">
        <v>12</v>
      </c>
      <c r="B35">
        <v>3837</v>
      </c>
      <c r="C35">
        <v>3471</v>
      </c>
      <c r="D35">
        <v>7643</v>
      </c>
      <c r="E35">
        <v>4358</v>
      </c>
      <c r="F35">
        <v>836</v>
      </c>
      <c r="G35">
        <v>1273</v>
      </c>
      <c r="U35" s="1" t="s">
        <v>11</v>
      </c>
      <c r="V35" s="4">
        <v>0.30499999999999999</v>
      </c>
      <c r="W35" s="4">
        <v>0.28894999999999998</v>
      </c>
    </row>
    <row r="36" spans="1:39" x14ac:dyDescent="0.25">
      <c r="A36" s="1" t="s">
        <v>13</v>
      </c>
      <c r="B36">
        <v>4442</v>
      </c>
      <c r="C36">
        <v>4475</v>
      </c>
      <c r="D36">
        <v>8322</v>
      </c>
      <c r="E36">
        <v>5064</v>
      </c>
      <c r="F36">
        <v>735</v>
      </c>
      <c r="G36">
        <v>1285</v>
      </c>
      <c r="J36" s="11" t="s">
        <v>65</v>
      </c>
      <c r="K36" s="11"/>
      <c r="L36" s="11"/>
      <c r="M36" s="11"/>
      <c r="N36" s="11"/>
      <c r="O36" s="11"/>
      <c r="P36" s="11"/>
      <c r="U36" s="1" t="s">
        <v>12</v>
      </c>
      <c r="V36" s="4">
        <v>0.30619000000000002</v>
      </c>
      <c r="W36" s="4">
        <v>0.29457</v>
      </c>
    </row>
    <row r="37" spans="1:39" x14ac:dyDescent="0.25">
      <c r="J37" s="13" t="s">
        <v>15</v>
      </c>
      <c r="K37" s="14"/>
      <c r="L37" s="14"/>
      <c r="M37" s="14"/>
      <c r="N37" s="14"/>
      <c r="O37" s="14"/>
      <c r="P37" s="15"/>
      <c r="U37" s="1" t="s">
        <v>13</v>
      </c>
      <c r="V37" s="4">
        <v>0.28906999999999999</v>
      </c>
      <c r="W37" s="4">
        <v>0.29794999999999999</v>
      </c>
      <c r="AG37" s="11" t="s">
        <v>65</v>
      </c>
      <c r="AH37" s="11"/>
      <c r="AI37" s="11"/>
      <c r="AJ37" s="11"/>
      <c r="AK37" s="11"/>
      <c r="AL37" s="11"/>
      <c r="AM37" s="11"/>
    </row>
    <row r="38" spans="1:39" ht="43.5" customHeight="1" x14ac:dyDescent="0.25">
      <c r="J38" s="7"/>
      <c r="K38" s="1" t="s">
        <v>5</v>
      </c>
      <c r="L38" s="6" t="s">
        <v>6</v>
      </c>
      <c r="M38" s="1" t="s">
        <v>7</v>
      </c>
      <c r="N38" s="6" t="s">
        <v>8</v>
      </c>
      <c r="O38" s="1" t="s">
        <v>1</v>
      </c>
      <c r="P38" s="1" t="s">
        <v>0</v>
      </c>
      <c r="AG38" s="13" t="s">
        <v>2</v>
      </c>
      <c r="AH38" s="14"/>
      <c r="AI38" s="14"/>
      <c r="AJ38" s="14"/>
      <c r="AK38" s="14"/>
      <c r="AL38" s="14"/>
      <c r="AM38" s="15"/>
    </row>
    <row r="39" spans="1:39" ht="40.5" customHeight="1" x14ac:dyDescent="0.25">
      <c r="J39" s="1" t="s">
        <v>9</v>
      </c>
      <c r="K39">
        <v>34.35</v>
      </c>
      <c r="L39">
        <v>32.737000000000002</v>
      </c>
      <c r="M39">
        <v>3.9169999999999998</v>
      </c>
      <c r="N39">
        <v>1.1619999999999999</v>
      </c>
      <c r="O39">
        <v>1.484</v>
      </c>
      <c r="P39">
        <v>0.82399999999999995</v>
      </c>
      <c r="AG39" s="7"/>
      <c r="AH39" s="1" t="s">
        <v>5</v>
      </c>
      <c r="AI39" s="6" t="s">
        <v>6</v>
      </c>
      <c r="AJ39" s="1" t="s">
        <v>7</v>
      </c>
      <c r="AK39" s="6" t="s">
        <v>8</v>
      </c>
      <c r="AL39" s="1" t="s">
        <v>1</v>
      </c>
      <c r="AM39" s="1" t="s">
        <v>0</v>
      </c>
    </row>
    <row r="40" spans="1:39" x14ac:dyDescent="0.25">
      <c r="J40" s="1" t="s">
        <v>10</v>
      </c>
      <c r="K40">
        <v>33.448</v>
      </c>
      <c r="L40">
        <v>35.726999999999997</v>
      </c>
      <c r="M40">
        <v>3.2669999999999999</v>
      </c>
      <c r="N40">
        <v>1.208</v>
      </c>
      <c r="O40">
        <v>1.724</v>
      </c>
      <c r="P40">
        <v>0.80400000000000005</v>
      </c>
      <c r="AG40" s="1" t="s">
        <v>9</v>
      </c>
      <c r="AH40">
        <v>781</v>
      </c>
      <c r="AI40">
        <v>145</v>
      </c>
      <c r="AJ40">
        <v>1072</v>
      </c>
      <c r="AK40">
        <v>1065</v>
      </c>
      <c r="AL40">
        <v>19</v>
      </c>
      <c r="AM40">
        <v>4</v>
      </c>
    </row>
    <row r="41" spans="1:39" x14ac:dyDescent="0.25">
      <c r="C41" t="s">
        <v>3</v>
      </c>
      <c r="J41" s="1" t="s">
        <v>11</v>
      </c>
      <c r="K41">
        <v>38.378999999999998</v>
      </c>
      <c r="L41">
        <v>39.978000000000002</v>
      </c>
      <c r="M41">
        <v>2.9689999999999999</v>
      </c>
      <c r="N41">
        <v>1.3759999999999999</v>
      </c>
      <c r="O41">
        <v>1.49</v>
      </c>
      <c r="P41">
        <v>0.77900000000000003</v>
      </c>
      <c r="U41" s="11" t="s">
        <v>64</v>
      </c>
      <c r="V41" s="11"/>
      <c r="W41" s="11"/>
      <c r="X41" s="11"/>
      <c r="Y41" s="11"/>
      <c r="Z41" s="11"/>
      <c r="AA41" s="11"/>
      <c r="AG41" s="1" t="s">
        <v>10</v>
      </c>
      <c r="AH41">
        <v>476</v>
      </c>
      <c r="AI41">
        <v>251</v>
      </c>
      <c r="AJ41">
        <v>1826</v>
      </c>
      <c r="AK41">
        <v>896</v>
      </c>
      <c r="AL41">
        <v>11</v>
      </c>
      <c r="AM41">
        <v>9</v>
      </c>
    </row>
    <row r="42" spans="1:39" x14ac:dyDescent="0.25">
      <c r="A42" s="11" t="s">
        <v>65</v>
      </c>
      <c r="B42" s="11"/>
      <c r="C42" s="11"/>
      <c r="D42" s="11"/>
      <c r="E42" s="11"/>
      <c r="F42" s="11"/>
      <c r="G42" s="11"/>
      <c r="J42" s="1" t="s">
        <v>12</v>
      </c>
      <c r="K42">
        <v>32.975000000000001</v>
      </c>
      <c r="L42">
        <v>30.149000000000001</v>
      </c>
      <c r="M42">
        <v>2.9729999999999999</v>
      </c>
      <c r="N42">
        <v>1.248</v>
      </c>
      <c r="O42">
        <v>1.8149999999999999</v>
      </c>
      <c r="P42">
        <v>0.86699999999999999</v>
      </c>
      <c r="U42" s="10" t="s">
        <v>16</v>
      </c>
      <c r="V42" s="10"/>
      <c r="W42" s="10"/>
      <c r="X42" s="10"/>
      <c r="Y42" s="10"/>
      <c r="Z42" s="10"/>
      <c r="AA42" s="10"/>
      <c r="AG42" s="1" t="s">
        <v>11</v>
      </c>
      <c r="AH42">
        <v>104</v>
      </c>
      <c r="AI42">
        <v>594</v>
      </c>
      <c r="AJ42">
        <v>2481</v>
      </c>
      <c r="AK42">
        <v>1053</v>
      </c>
      <c r="AL42">
        <v>13</v>
      </c>
      <c r="AM42">
        <v>17</v>
      </c>
    </row>
    <row r="43" spans="1:39" ht="42" customHeight="1" x14ac:dyDescent="0.25">
      <c r="A43" s="10" t="s">
        <v>4</v>
      </c>
      <c r="B43" s="10"/>
      <c r="C43" s="10"/>
      <c r="D43" s="10"/>
      <c r="E43" s="10"/>
      <c r="F43" s="10"/>
      <c r="G43" s="10"/>
      <c r="J43" s="1" t="s">
        <v>13</v>
      </c>
      <c r="K43">
        <v>32.107999999999997</v>
      </c>
      <c r="L43">
        <v>30.937999999999999</v>
      </c>
      <c r="M43">
        <v>2.839</v>
      </c>
      <c r="N43">
        <v>1.131</v>
      </c>
      <c r="O43">
        <v>1.5629999999999999</v>
      </c>
      <c r="P43">
        <v>0.77500000000000002</v>
      </c>
      <c r="U43" s="5"/>
      <c r="V43" s="1" t="s">
        <v>5</v>
      </c>
      <c r="W43" s="6" t="s">
        <v>6</v>
      </c>
      <c r="X43" s="1" t="s">
        <v>7</v>
      </c>
      <c r="Y43" s="6" t="s">
        <v>8</v>
      </c>
      <c r="Z43" s="1" t="s">
        <v>1</v>
      </c>
      <c r="AA43" s="1" t="s">
        <v>0</v>
      </c>
      <c r="AG43" s="1" t="s">
        <v>12</v>
      </c>
      <c r="AH43">
        <v>693</v>
      </c>
      <c r="AI43">
        <v>171</v>
      </c>
      <c r="AJ43">
        <v>1632</v>
      </c>
      <c r="AK43">
        <v>1067</v>
      </c>
      <c r="AL43">
        <v>22</v>
      </c>
      <c r="AM43">
        <v>5</v>
      </c>
    </row>
    <row r="44" spans="1:39" ht="31.5" customHeight="1" x14ac:dyDescent="0.25">
      <c r="A44" s="5"/>
      <c r="B44" s="1" t="s">
        <v>5</v>
      </c>
      <c r="C44" s="6" t="s">
        <v>6</v>
      </c>
      <c r="D44" s="1" t="s">
        <v>7</v>
      </c>
      <c r="E44" s="6" t="s">
        <v>8</v>
      </c>
      <c r="F44" s="1" t="s">
        <v>1</v>
      </c>
      <c r="G44" s="1" t="s">
        <v>0</v>
      </c>
      <c r="U44" s="1" t="s">
        <v>9</v>
      </c>
      <c r="V44">
        <v>0</v>
      </c>
      <c r="W44">
        <v>0</v>
      </c>
      <c r="Z44">
        <v>0.26300000000000001</v>
      </c>
      <c r="AA44">
        <v>0.27700000000000002</v>
      </c>
      <c r="AG44" s="1" t="s">
        <v>13</v>
      </c>
      <c r="AH44">
        <v>609</v>
      </c>
      <c r="AI44">
        <v>478</v>
      </c>
      <c r="AJ44">
        <v>1023</v>
      </c>
      <c r="AK44">
        <v>1070</v>
      </c>
      <c r="AL44">
        <v>9</v>
      </c>
      <c r="AM44">
        <v>10</v>
      </c>
    </row>
    <row r="45" spans="1:39" x14ac:dyDescent="0.25">
      <c r="A45" s="1" t="s">
        <v>9</v>
      </c>
      <c r="B45">
        <v>2843</v>
      </c>
      <c r="C45">
        <v>3376</v>
      </c>
      <c r="D45">
        <v>5098</v>
      </c>
      <c r="E45">
        <v>4963</v>
      </c>
      <c r="F45">
        <v>718</v>
      </c>
      <c r="G45">
        <v>1271</v>
      </c>
      <c r="U45" s="1" t="s">
        <v>10</v>
      </c>
      <c r="V45">
        <v>0</v>
      </c>
      <c r="W45">
        <v>0</v>
      </c>
      <c r="Z45">
        <v>0.249</v>
      </c>
      <c r="AA45">
        <v>0.28399999999999997</v>
      </c>
    </row>
    <row r="46" spans="1:39" x14ac:dyDescent="0.25">
      <c r="A46" s="1" t="s">
        <v>10</v>
      </c>
      <c r="B46">
        <v>3823</v>
      </c>
      <c r="C46">
        <v>4008</v>
      </c>
      <c r="D46">
        <v>5755</v>
      </c>
      <c r="E46">
        <v>4030</v>
      </c>
      <c r="F46">
        <v>797</v>
      </c>
      <c r="G46">
        <v>1376</v>
      </c>
      <c r="U46" s="1" t="s">
        <v>11</v>
      </c>
      <c r="V46">
        <v>0</v>
      </c>
      <c r="W46">
        <v>0</v>
      </c>
      <c r="Z46">
        <v>0.26700000000000002</v>
      </c>
      <c r="AA46">
        <v>0.28199999999999997</v>
      </c>
    </row>
    <row r="47" spans="1:39" x14ac:dyDescent="0.25">
      <c r="A47" s="1" t="s">
        <v>11</v>
      </c>
      <c r="B47">
        <v>3154</v>
      </c>
      <c r="C47">
        <v>3502</v>
      </c>
      <c r="D47">
        <v>6740</v>
      </c>
      <c r="E47">
        <v>4627</v>
      </c>
      <c r="F47">
        <v>741</v>
      </c>
      <c r="G47">
        <v>1302</v>
      </c>
      <c r="U47" s="1" t="s">
        <v>12</v>
      </c>
      <c r="V47">
        <v>0</v>
      </c>
      <c r="W47">
        <v>0</v>
      </c>
      <c r="Z47">
        <v>0.27600000000000002</v>
      </c>
      <c r="AA47">
        <v>0.27889999999999998</v>
      </c>
    </row>
    <row r="48" spans="1:39" x14ac:dyDescent="0.25">
      <c r="A48" s="1" t="s">
        <v>12</v>
      </c>
      <c r="B48">
        <v>4108</v>
      </c>
      <c r="C48">
        <v>3575</v>
      </c>
      <c r="D48">
        <v>5399</v>
      </c>
      <c r="E48">
        <v>4130</v>
      </c>
      <c r="F48">
        <v>780</v>
      </c>
      <c r="G48">
        <v>1273</v>
      </c>
      <c r="U48" s="1" t="s">
        <v>13</v>
      </c>
      <c r="V48">
        <v>0</v>
      </c>
      <c r="W48">
        <v>0</v>
      </c>
      <c r="Z48">
        <v>0.253</v>
      </c>
      <c r="AA48">
        <v>0.26300000000000001</v>
      </c>
    </row>
    <row r="49" spans="1:39" x14ac:dyDescent="0.25">
      <c r="A49" s="1" t="s">
        <v>13</v>
      </c>
      <c r="B49">
        <v>3093</v>
      </c>
      <c r="C49">
        <v>3931</v>
      </c>
      <c r="D49">
        <v>4502</v>
      </c>
      <c r="E49">
        <v>4845</v>
      </c>
      <c r="F49">
        <v>770</v>
      </c>
      <c r="G49">
        <v>1285</v>
      </c>
    </row>
    <row r="50" spans="1:39" x14ac:dyDescent="0.25">
      <c r="J50" s="12" t="s">
        <v>66</v>
      </c>
      <c r="K50" s="12"/>
      <c r="L50" s="12"/>
      <c r="M50" s="12"/>
      <c r="N50" s="12"/>
      <c r="O50" s="12"/>
      <c r="P50" s="12"/>
      <c r="U50" s="16" t="s">
        <v>17</v>
      </c>
      <c r="V50" s="16"/>
      <c r="W50" s="16"/>
    </row>
    <row r="51" spans="1:39" ht="45" customHeight="1" x14ac:dyDescent="0.25">
      <c r="J51" s="5"/>
      <c r="K51" s="1" t="s">
        <v>5</v>
      </c>
      <c r="L51" s="6" t="s">
        <v>6</v>
      </c>
      <c r="M51" s="1" t="s">
        <v>7</v>
      </c>
      <c r="N51" s="6" t="s">
        <v>8</v>
      </c>
      <c r="O51" s="1" t="s">
        <v>1</v>
      </c>
      <c r="P51" s="1" t="s">
        <v>0</v>
      </c>
      <c r="V51" s="1" t="s">
        <v>0</v>
      </c>
      <c r="W51" s="1" t="s">
        <v>1</v>
      </c>
    </row>
    <row r="52" spans="1:39" x14ac:dyDescent="0.25">
      <c r="J52" s="31">
        <v>0.15</v>
      </c>
      <c r="K52">
        <f>AVERAGE(K5:K9)</f>
        <v>316.44279999999998</v>
      </c>
      <c r="L52">
        <f t="shared" ref="L52:P52" si="0">AVERAGE(L5:L9)</f>
        <v>286.65620000000001</v>
      </c>
      <c r="M52">
        <f t="shared" si="0"/>
        <v>8.6183999999999994</v>
      </c>
      <c r="N52">
        <f t="shared" si="0"/>
        <v>1.3320000000000001</v>
      </c>
      <c r="O52">
        <f t="shared" si="0"/>
        <v>1.6539999999999999</v>
      </c>
      <c r="P52">
        <f t="shared" si="0"/>
        <v>0.80980000000000008</v>
      </c>
      <c r="U52" s="1" t="s">
        <v>9</v>
      </c>
      <c r="V52" s="4">
        <v>0.30005300000000001</v>
      </c>
      <c r="W52" s="4">
        <v>0.28673999999999999</v>
      </c>
    </row>
    <row r="53" spans="1:39" x14ac:dyDescent="0.25">
      <c r="A53" s="12" t="s">
        <v>67</v>
      </c>
      <c r="B53" s="12"/>
      <c r="C53" s="12"/>
      <c r="D53" s="12"/>
      <c r="E53" s="12"/>
      <c r="F53" s="12"/>
      <c r="G53" s="12"/>
      <c r="J53" s="32">
        <v>0.35</v>
      </c>
      <c r="K53">
        <f t="shared" ref="K53:P53" si="1">AVERAGE(K17:K21)</f>
        <v>118.27259999999998</v>
      </c>
      <c r="L53">
        <f t="shared" si="1"/>
        <v>141.03640000000001</v>
      </c>
      <c r="M53">
        <f t="shared" si="1"/>
        <v>5.8294000000000006</v>
      </c>
      <c r="N53">
        <f t="shared" si="1"/>
        <v>1.4893999999999998</v>
      </c>
      <c r="O53">
        <f t="shared" si="1"/>
        <v>1.7768000000000002</v>
      </c>
      <c r="P53">
        <f t="shared" si="1"/>
        <v>0.80980000000000008</v>
      </c>
      <c r="U53" s="1" t="s">
        <v>10</v>
      </c>
      <c r="V53" s="4">
        <v>0.31176999999999999</v>
      </c>
      <c r="W53" s="4">
        <v>0.27310000000000001</v>
      </c>
    </row>
    <row r="54" spans="1:39" ht="105" x14ac:dyDescent="0.25">
      <c r="A54" s="5"/>
      <c r="B54" s="1" t="s">
        <v>5</v>
      </c>
      <c r="C54" s="6" t="s">
        <v>6</v>
      </c>
      <c r="D54" s="1" t="s">
        <v>7</v>
      </c>
      <c r="E54" s="6" t="s">
        <v>8</v>
      </c>
      <c r="F54" s="1" t="s">
        <v>1</v>
      </c>
      <c r="G54" s="1" t="s">
        <v>0</v>
      </c>
      <c r="J54" s="32">
        <v>0.55000000000000004</v>
      </c>
      <c r="K54">
        <f t="shared" ref="K54:P54" si="2">AVERAGE(K28:K32)</f>
        <v>55.485599999999998</v>
      </c>
      <c r="L54">
        <f t="shared" si="2"/>
        <v>58.168799999999997</v>
      </c>
      <c r="M54">
        <f t="shared" si="2"/>
        <v>5.0909999999999993</v>
      </c>
      <c r="N54">
        <f t="shared" si="2"/>
        <v>1.3444</v>
      </c>
      <c r="O54">
        <f t="shared" si="2"/>
        <v>1.7276</v>
      </c>
      <c r="P54">
        <f t="shared" si="2"/>
        <v>0.80980000000000008</v>
      </c>
      <c r="U54" s="1" t="s">
        <v>11</v>
      </c>
      <c r="V54" s="4">
        <v>0.30499999999999999</v>
      </c>
      <c r="W54" s="4">
        <v>0.29060999999999998</v>
      </c>
    </row>
    <row r="55" spans="1:39" x14ac:dyDescent="0.25">
      <c r="A55" s="31">
        <v>0.15</v>
      </c>
      <c r="B55">
        <f>AVERAGE(B6:B10)</f>
        <v>4666</v>
      </c>
      <c r="C55">
        <f t="shared" ref="C55:G55" si="3">AVERAGE(C6:C10)</f>
        <v>5071.2</v>
      </c>
      <c r="D55">
        <f t="shared" si="3"/>
        <v>8123.2</v>
      </c>
      <c r="E55">
        <f t="shared" si="3"/>
        <v>7834.6</v>
      </c>
      <c r="F55">
        <f t="shared" si="3"/>
        <v>756.6</v>
      </c>
      <c r="G55">
        <f t="shared" si="3"/>
        <v>1301.4000000000001</v>
      </c>
      <c r="J55" s="32">
        <v>0.7</v>
      </c>
      <c r="K55">
        <f t="shared" ref="K55:P55" si="4">AVERAGE(K39:K43)</f>
        <v>34.251999999999995</v>
      </c>
      <c r="L55">
        <f t="shared" si="4"/>
        <v>33.905799999999999</v>
      </c>
      <c r="M55">
        <f t="shared" si="4"/>
        <v>3.1929999999999996</v>
      </c>
      <c r="N55">
        <f t="shared" si="4"/>
        <v>1.2250000000000001</v>
      </c>
      <c r="O55">
        <f t="shared" si="4"/>
        <v>1.6152000000000002</v>
      </c>
      <c r="P55">
        <f t="shared" si="4"/>
        <v>0.80980000000000008</v>
      </c>
      <c r="U55" s="1" t="s">
        <v>12</v>
      </c>
      <c r="V55" s="4">
        <v>0.30619000000000002</v>
      </c>
      <c r="W55" s="4">
        <v>0.29962</v>
      </c>
    </row>
    <row r="56" spans="1:39" x14ac:dyDescent="0.25">
      <c r="A56" s="32">
        <v>0.35</v>
      </c>
      <c r="B56">
        <f t="shared" ref="B56:G56" si="5">AVERAGE(B19:B23)</f>
        <v>5044.2</v>
      </c>
      <c r="C56">
        <f t="shared" si="5"/>
        <v>5279.4</v>
      </c>
      <c r="D56">
        <f t="shared" si="5"/>
        <v>8720.7999999999993</v>
      </c>
      <c r="E56">
        <f t="shared" si="5"/>
        <v>7230.4</v>
      </c>
      <c r="F56">
        <f t="shared" si="5"/>
        <v>737.4</v>
      </c>
      <c r="G56">
        <f t="shared" si="5"/>
        <v>1301.4000000000001</v>
      </c>
      <c r="U56" s="1" t="s">
        <v>13</v>
      </c>
      <c r="V56" s="4">
        <v>0.28906999999999999</v>
      </c>
      <c r="W56" s="4">
        <v>0.27543000000000001</v>
      </c>
    </row>
    <row r="57" spans="1:39" x14ac:dyDescent="0.25">
      <c r="A57" s="32">
        <v>0.55000000000000004</v>
      </c>
      <c r="B57">
        <f t="shared" ref="B57:G57" si="6">AVERAGE(B32:B36)</f>
        <v>4271.2</v>
      </c>
      <c r="C57">
        <f t="shared" si="6"/>
        <v>3993.2</v>
      </c>
      <c r="D57">
        <f t="shared" si="6"/>
        <v>8029.8</v>
      </c>
      <c r="E57">
        <f t="shared" si="6"/>
        <v>5096.3999999999996</v>
      </c>
      <c r="F57">
        <f t="shared" si="6"/>
        <v>778</v>
      </c>
      <c r="G57">
        <f t="shared" si="6"/>
        <v>1301.4000000000001</v>
      </c>
    </row>
    <row r="58" spans="1:39" x14ac:dyDescent="0.25">
      <c r="A58" s="32">
        <v>0.7</v>
      </c>
      <c r="B58">
        <f t="shared" ref="B58:G58" si="7">AVERAGE(B45:B49)</f>
        <v>3404.2</v>
      </c>
      <c r="C58">
        <f t="shared" si="7"/>
        <v>3678.4</v>
      </c>
      <c r="D58">
        <f t="shared" si="7"/>
        <v>5498.8</v>
      </c>
      <c r="E58">
        <f t="shared" si="7"/>
        <v>4519</v>
      </c>
      <c r="F58">
        <f t="shared" si="7"/>
        <v>761.2</v>
      </c>
      <c r="G58">
        <f t="shared" si="7"/>
        <v>1301.4000000000001</v>
      </c>
    </row>
    <row r="60" spans="1:39" x14ac:dyDescent="0.25">
      <c r="U60" s="11" t="s">
        <v>65</v>
      </c>
      <c r="V60" s="11"/>
      <c r="W60" s="11"/>
      <c r="X60" s="11"/>
      <c r="Y60" s="11"/>
      <c r="Z60" s="11"/>
      <c r="AA60" s="11"/>
      <c r="AG60" s="12" t="s">
        <v>23</v>
      </c>
      <c r="AH60" s="12"/>
      <c r="AI60" s="12"/>
      <c r="AJ60" s="12"/>
      <c r="AK60" s="12"/>
      <c r="AL60" s="12"/>
      <c r="AM60" s="12"/>
    </row>
    <row r="61" spans="1:39" x14ac:dyDescent="0.25">
      <c r="U61" s="10" t="s">
        <v>16</v>
      </c>
      <c r="V61" s="10"/>
      <c r="W61" s="10"/>
      <c r="X61" s="10"/>
      <c r="Y61" s="10"/>
      <c r="Z61" s="10"/>
      <c r="AA61" s="10"/>
      <c r="AG61" s="13" t="s">
        <v>2</v>
      </c>
      <c r="AH61" s="14"/>
      <c r="AI61" s="14"/>
      <c r="AJ61" s="14"/>
      <c r="AK61" s="14"/>
      <c r="AL61" s="14"/>
      <c r="AM61" s="15"/>
    </row>
    <row r="62" spans="1:39" ht="105" x14ac:dyDescent="0.25">
      <c r="U62" s="5"/>
      <c r="V62" s="1" t="s">
        <v>5</v>
      </c>
      <c r="W62" s="6" t="s">
        <v>6</v>
      </c>
      <c r="X62" s="1" t="s">
        <v>7</v>
      </c>
      <c r="Y62" s="6" t="s">
        <v>8</v>
      </c>
      <c r="Z62" s="1" t="s">
        <v>1</v>
      </c>
      <c r="AA62" s="1" t="s">
        <v>0</v>
      </c>
      <c r="AG62" s="9"/>
      <c r="AH62" s="1" t="s">
        <v>5</v>
      </c>
      <c r="AI62" s="6" t="s">
        <v>6</v>
      </c>
      <c r="AJ62" s="1" t="s">
        <v>7</v>
      </c>
      <c r="AK62" s="6" t="s">
        <v>8</v>
      </c>
      <c r="AL62" s="1" t="s">
        <v>1</v>
      </c>
      <c r="AM62" s="1" t="s">
        <v>0</v>
      </c>
    </row>
    <row r="63" spans="1:39" x14ac:dyDescent="0.25">
      <c r="U63" s="1" t="s">
        <v>9</v>
      </c>
      <c r="Z63">
        <v>0.26700000000000002</v>
      </c>
      <c r="AA63">
        <v>0.27700000000000002</v>
      </c>
      <c r="AG63" s="31">
        <v>0.15</v>
      </c>
      <c r="AH63">
        <f>AVERAGE(AH5:AH9)</f>
        <v>240.6</v>
      </c>
      <c r="AI63">
        <f>AVERAGE(AI5:AI9)</f>
        <v>170.6</v>
      </c>
      <c r="AJ63">
        <f>AVERAGE(AJ5:AJ9)</f>
        <v>1856</v>
      </c>
      <c r="AK63">
        <f t="shared" ref="AK63:AM63" si="8">AVERAGE(AK5:AK9)</f>
        <v>1660</v>
      </c>
      <c r="AL63">
        <f t="shared" si="8"/>
        <v>10.6</v>
      </c>
      <c r="AM63">
        <f t="shared" si="8"/>
        <v>9</v>
      </c>
    </row>
    <row r="64" spans="1:39" x14ac:dyDescent="0.25">
      <c r="U64" s="1" t="s">
        <v>10</v>
      </c>
      <c r="Z64">
        <v>0.25900000000000001</v>
      </c>
      <c r="AA64">
        <v>0.28399999999999997</v>
      </c>
      <c r="AG64" s="32">
        <v>0.35</v>
      </c>
      <c r="AH64">
        <f>AVERAGE(AH17:AH21)</f>
        <v>457.6</v>
      </c>
      <c r="AI64">
        <f>AVERAGE(AI17:AI21)</f>
        <v>295.8</v>
      </c>
      <c r="AJ64">
        <f t="shared" ref="AJ64:AM64" si="9">AVERAGE(AJ17:AJ21)</f>
        <v>2536</v>
      </c>
      <c r="AK64">
        <f t="shared" si="9"/>
        <v>1483.6</v>
      </c>
      <c r="AL64">
        <f t="shared" si="9"/>
        <v>23</v>
      </c>
      <c r="AM64">
        <f t="shared" si="9"/>
        <v>9</v>
      </c>
    </row>
    <row r="65" spans="21:39" x14ac:dyDescent="0.25">
      <c r="U65" s="1" t="s">
        <v>11</v>
      </c>
      <c r="Z65">
        <v>0.26119999999999999</v>
      </c>
      <c r="AA65">
        <v>0.28199999999999997</v>
      </c>
      <c r="AG65" s="32">
        <v>0.55000000000000004</v>
      </c>
      <c r="AH65">
        <f>AVERAGE(AH28:AH32)</f>
        <v>781.2</v>
      </c>
      <c r="AI65">
        <f t="shared" ref="AI65:AM65" si="10">AVERAGE(AI28:AI32)</f>
        <v>450.2</v>
      </c>
      <c r="AJ65">
        <f t="shared" si="10"/>
        <v>3282.4</v>
      </c>
      <c r="AK65">
        <f t="shared" si="10"/>
        <v>1511.2</v>
      </c>
      <c r="AL65">
        <f t="shared" si="10"/>
        <v>27.6</v>
      </c>
      <c r="AM65">
        <f t="shared" si="10"/>
        <v>9</v>
      </c>
    </row>
    <row r="66" spans="21:39" x14ac:dyDescent="0.25">
      <c r="U66" s="1" t="s">
        <v>12</v>
      </c>
      <c r="Z66">
        <v>0.27</v>
      </c>
      <c r="AA66">
        <v>0.27889999999999998</v>
      </c>
      <c r="AG66" s="32">
        <v>0.7</v>
      </c>
      <c r="AH66">
        <f>AVERAGE(AH40:AH44)</f>
        <v>532.6</v>
      </c>
      <c r="AI66">
        <f t="shared" ref="AI66:AM66" si="11">AVERAGE(AI40:AI44)</f>
        <v>327.8</v>
      </c>
      <c r="AJ66">
        <f t="shared" si="11"/>
        <v>1606.8</v>
      </c>
      <c r="AK66">
        <f t="shared" si="11"/>
        <v>1030.2</v>
      </c>
      <c r="AL66">
        <f t="shared" si="11"/>
        <v>14.8</v>
      </c>
      <c r="AM66">
        <f t="shared" si="11"/>
        <v>9</v>
      </c>
    </row>
    <row r="67" spans="21:39" x14ac:dyDescent="0.25">
      <c r="U67" s="1" t="s">
        <v>13</v>
      </c>
      <c r="Z67">
        <v>0.26600000000000001</v>
      </c>
      <c r="AA67">
        <v>0.26300000000000001</v>
      </c>
    </row>
    <row r="69" spans="21:39" x14ac:dyDescent="0.25">
      <c r="U69" s="16" t="s">
        <v>17</v>
      </c>
      <c r="V69" s="16"/>
      <c r="W69" s="16"/>
    </row>
    <row r="70" spans="21:39" x14ac:dyDescent="0.25">
      <c r="V70" s="1" t="s">
        <v>0</v>
      </c>
      <c r="W70" s="1" t="s">
        <v>1</v>
      </c>
    </row>
    <row r="71" spans="21:39" x14ac:dyDescent="0.25">
      <c r="U71" s="1" t="s">
        <v>9</v>
      </c>
      <c r="V71" s="4">
        <v>0.30005300000000001</v>
      </c>
      <c r="W71" s="4">
        <v>0.29046</v>
      </c>
    </row>
    <row r="72" spans="21:39" x14ac:dyDescent="0.25">
      <c r="U72" s="1" t="s">
        <v>10</v>
      </c>
      <c r="V72" s="4">
        <v>0.31176999999999999</v>
      </c>
      <c r="W72" s="4">
        <v>0.28264</v>
      </c>
    </row>
    <row r="73" spans="21:39" x14ac:dyDescent="0.25">
      <c r="U73" s="1" t="s">
        <v>11</v>
      </c>
      <c r="V73" s="4">
        <v>0.30499999999999999</v>
      </c>
      <c r="W73" s="4">
        <v>0.28449999999999998</v>
      </c>
    </row>
    <row r="74" spans="21:39" x14ac:dyDescent="0.25">
      <c r="U74" s="1" t="s">
        <v>12</v>
      </c>
      <c r="V74" s="4">
        <v>0.30619000000000002</v>
      </c>
      <c r="W74" s="4">
        <v>0.29320000000000002</v>
      </c>
    </row>
    <row r="75" spans="21:39" x14ac:dyDescent="0.25">
      <c r="U75" s="1" t="s">
        <v>13</v>
      </c>
      <c r="V75" s="4">
        <v>0.28906999999999999</v>
      </c>
      <c r="W75" s="4">
        <v>0.28894999999999998</v>
      </c>
    </row>
    <row r="79" spans="21:39" x14ac:dyDescent="0.25">
      <c r="U79" s="12" t="s">
        <v>23</v>
      </c>
      <c r="V79" s="12"/>
      <c r="W79" s="12"/>
      <c r="X79" s="12"/>
      <c r="Y79" s="12"/>
      <c r="Z79" s="12"/>
      <c r="AA79" s="12"/>
    </row>
    <row r="80" spans="21:39" x14ac:dyDescent="0.25">
      <c r="U80" s="10" t="s">
        <v>16</v>
      </c>
      <c r="V80" s="10"/>
      <c r="W80" s="10"/>
      <c r="X80" s="10"/>
      <c r="Y80" s="10"/>
      <c r="Z80" s="10"/>
      <c r="AA80" s="10"/>
    </row>
    <row r="81" spans="21:23" x14ac:dyDescent="0.25">
      <c r="U81" s="9"/>
      <c r="V81" s="1" t="s">
        <v>1</v>
      </c>
      <c r="W81" s="1" t="s">
        <v>0</v>
      </c>
    </row>
    <row r="82" spans="21:23" x14ac:dyDescent="0.25">
      <c r="U82" s="31">
        <v>0.15</v>
      </c>
      <c r="V82">
        <f>AVERAGE(Z5:Z9)</f>
        <v>0.27960000000000002</v>
      </c>
      <c r="W82">
        <f>AVERAGE(AA5:AA9)</f>
        <v>0.27698</v>
      </c>
    </row>
    <row r="83" spans="21:23" x14ac:dyDescent="0.25">
      <c r="U83" s="32">
        <v>0.35</v>
      </c>
      <c r="V83">
        <f>AVERAGE(Z25:Z29)</f>
        <v>0.27060000000000006</v>
      </c>
      <c r="W83">
        <f>AVERAGE(AA25:AA29)</f>
        <v>0.27698</v>
      </c>
    </row>
    <row r="84" spans="21:23" x14ac:dyDescent="0.25">
      <c r="U84" s="32">
        <v>0.55000000000000004</v>
      </c>
      <c r="V84">
        <f>AVERAGE(Z44:Z48)</f>
        <v>0.26160000000000005</v>
      </c>
      <c r="W84">
        <f>AVERAGE(AA44:AA48)</f>
        <v>0.27698</v>
      </c>
    </row>
    <row r="85" spans="21:23" x14ac:dyDescent="0.25">
      <c r="U85" s="32">
        <v>0.7</v>
      </c>
      <c r="V85">
        <f>AVERAGE(Z63:Z67)</f>
        <v>0.26463999999999999</v>
      </c>
      <c r="W85">
        <f>AVERAGE(AA63:AA67)</f>
        <v>0.27698</v>
      </c>
    </row>
    <row r="91" spans="21:23" x14ac:dyDescent="0.25">
      <c r="U91" s="19" t="s">
        <v>17</v>
      </c>
      <c r="V91" s="19"/>
      <c r="W91" s="19"/>
    </row>
    <row r="92" spans="21:23" x14ac:dyDescent="0.25">
      <c r="V92" s="1" t="s">
        <v>0</v>
      </c>
      <c r="W92" s="1" t="s">
        <v>1</v>
      </c>
    </row>
    <row r="93" spans="21:23" x14ac:dyDescent="0.25">
      <c r="U93" s="31">
        <v>0.15</v>
      </c>
      <c r="V93" s="4">
        <f>AVERAGE(V13:V17)</f>
        <v>0.30241659999999998</v>
      </c>
      <c r="W93" s="4">
        <f>AVERAGE(W13:W17)</f>
        <v>0.29810560000000003</v>
      </c>
    </row>
    <row r="94" spans="21:23" x14ac:dyDescent="0.25">
      <c r="U94" s="32">
        <v>0.35</v>
      </c>
      <c r="V94" s="4">
        <f>AVERAGE(V33:V37)</f>
        <v>0.30241659999999998</v>
      </c>
      <c r="W94" s="4">
        <f>AVERAGE(W33:W37)</f>
        <v>0.29363600000000001</v>
      </c>
    </row>
    <row r="95" spans="21:23" x14ac:dyDescent="0.25">
      <c r="U95" s="32">
        <v>0.55000000000000004</v>
      </c>
      <c r="V95" s="4">
        <f>AVERAGE(V52:V56)</f>
        <v>0.30241659999999998</v>
      </c>
      <c r="W95" s="4">
        <f>AVERAGE(W52:W56)</f>
        <v>0.28510000000000002</v>
      </c>
    </row>
    <row r="96" spans="21:23" x14ac:dyDescent="0.25">
      <c r="U96" s="32">
        <v>0.7</v>
      </c>
      <c r="V96" s="4">
        <f>AVERAGE(V71:V75)</f>
        <v>0.30241659999999998</v>
      </c>
      <c r="W96" s="4">
        <f>AVERAGE(W71:W75)</f>
        <v>0.28794999999999998</v>
      </c>
    </row>
  </sheetData>
  <mergeCells count="47">
    <mergeCell ref="AG37:AM37"/>
    <mergeCell ref="AG38:AM38"/>
    <mergeCell ref="AG60:AM60"/>
    <mergeCell ref="AG61:AM61"/>
    <mergeCell ref="AG1:AM1"/>
    <mergeCell ref="U79:AA79"/>
    <mergeCell ref="U80:AA80"/>
    <mergeCell ref="U91:W91"/>
    <mergeCell ref="U1:AA1"/>
    <mergeCell ref="AG2:AM2"/>
    <mergeCell ref="AG3:AM3"/>
    <mergeCell ref="AG14:AM14"/>
    <mergeCell ref="AG15:AM15"/>
    <mergeCell ref="AG25:AM25"/>
    <mergeCell ref="AG26:AM26"/>
    <mergeCell ref="U41:AA41"/>
    <mergeCell ref="U42:AA42"/>
    <mergeCell ref="U50:W50"/>
    <mergeCell ref="U60:AA60"/>
    <mergeCell ref="U61:AA61"/>
    <mergeCell ref="U69:W69"/>
    <mergeCell ref="J36:P36"/>
    <mergeCell ref="J37:P37"/>
    <mergeCell ref="J50:P50"/>
    <mergeCell ref="J1:P1"/>
    <mergeCell ref="U2:AA2"/>
    <mergeCell ref="U3:AA3"/>
    <mergeCell ref="U11:W11"/>
    <mergeCell ref="U22:AA22"/>
    <mergeCell ref="U23:AA23"/>
    <mergeCell ref="U31:W31"/>
    <mergeCell ref="A42:G42"/>
    <mergeCell ref="A43:G43"/>
    <mergeCell ref="A53:G53"/>
    <mergeCell ref="A1:G1"/>
    <mergeCell ref="J2:P2"/>
    <mergeCell ref="J3:P3"/>
    <mergeCell ref="J14:P14"/>
    <mergeCell ref="J15:P15"/>
    <mergeCell ref="J25:P25"/>
    <mergeCell ref="J26:P26"/>
    <mergeCell ref="A3:G3"/>
    <mergeCell ref="A4:G4"/>
    <mergeCell ref="A16:G16"/>
    <mergeCell ref="A17:G17"/>
    <mergeCell ref="A29:G29"/>
    <mergeCell ref="A30:G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10B5-169B-4E12-9B7A-C428714D777C}">
  <dimension ref="A1:AJ96"/>
  <sheetViews>
    <sheetView topLeftCell="R57" workbookViewId="0">
      <selection activeCell="AI69" sqref="AI69"/>
    </sheetView>
  </sheetViews>
  <sheetFormatPr defaultRowHeight="15" x14ac:dyDescent="0.25"/>
  <sheetData>
    <row r="1" spans="1:36" x14ac:dyDescent="0.25">
      <c r="A1" s="18" t="s">
        <v>72</v>
      </c>
      <c r="B1" s="18"/>
      <c r="C1" s="18"/>
      <c r="D1" s="18"/>
      <c r="E1" s="18"/>
      <c r="F1" s="18"/>
      <c r="G1" s="18"/>
      <c r="K1" s="18" t="s">
        <v>15</v>
      </c>
      <c r="L1" s="18"/>
      <c r="M1" s="18"/>
      <c r="N1" s="18"/>
      <c r="O1" s="18"/>
      <c r="P1" s="18"/>
      <c r="Q1" s="18"/>
      <c r="U1" s="18" t="s">
        <v>16</v>
      </c>
      <c r="V1" s="18"/>
      <c r="W1" s="18"/>
      <c r="X1" s="18"/>
      <c r="Y1" s="18"/>
      <c r="Z1" s="18"/>
      <c r="AA1" s="18"/>
      <c r="AD1" s="18" t="s">
        <v>27</v>
      </c>
      <c r="AE1" s="18"/>
      <c r="AF1" s="18"/>
      <c r="AG1" s="18"/>
      <c r="AH1" s="18"/>
      <c r="AI1" s="18"/>
      <c r="AJ1" s="18"/>
    </row>
    <row r="2" spans="1:36" x14ac:dyDescent="0.25">
      <c r="C2" t="s">
        <v>3</v>
      </c>
      <c r="K2" s="11" t="s">
        <v>73</v>
      </c>
      <c r="L2" s="11"/>
      <c r="M2" s="11"/>
      <c r="N2" s="11"/>
      <c r="O2" s="11"/>
      <c r="P2" s="11"/>
      <c r="Q2" s="11"/>
      <c r="U2" s="23" t="s">
        <v>73</v>
      </c>
      <c r="V2" s="23"/>
      <c r="W2" s="23"/>
      <c r="X2" s="23"/>
      <c r="Y2" s="23"/>
      <c r="Z2" s="23"/>
      <c r="AA2" s="23"/>
      <c r="AD2" s="23" t="s">
        <v>73</v>
      </c>
      <c r="AE2" s="23"/>
      <c r="AF2" s="23"/>
      <c r="AG2" s="23"/>
      <c r="AH2" s="23"/>
      <c r="AI2" s="23"/>
      <c r="AJ2" s="23"/>
    </row>
    <row r="3" spans="1:36" x14ac:dyDescent="0.25">
      <c r="A3" s="11" t="s">
        <v>68</v>
      </c>
      <c r="B3" s="11"/>
      <c r="C3" s="11"/>
      <c r="D3" s="11"/>
      <c r="E3" s="11"/>
      <c r="F3" s="11"/>
      <c r="G3" s="11"/>
      <c r="K3" s="13" t="s">
        <v>15</v>
      </c>
      <c r="L3" s="14"/>
      <c r="M3" s="14"/>
      <c r="N3" s="14"/>
      <c r="O3" s="14"/>
      <c r="P3" s="14"/>
      <c r="Q3" s="15"/>
      <c r="U3" s="10" t="s">
        <v>16</v>
      </c>
      <c r="V3" s="10"/>
      <c r="W3" s="10"/>
      <c r="X3" s="10"/>
      <c r="Y3" s="10"/>
      <c r="Z3" s="10"/>
      <c r="AA3" s="10"/>
      <c r="AD3" s="13" t="s">
        <v>2</v>
      </c>
      <c r="AE3" s="14"/>
      <c r="AF3" s="14"/>
      <c r="AG3" s="14"/>
      <c r="AH3" s="14"/>
      <c r="AI3" s="14"/>
      <c r="AJ3" s="15"/>
    </row>
    <row r="4" spans="1:36" ht="24" customHeight="1" x14ac:dyDescent="0.25">
      <c r="A4" s="10" t="s">
        <v>4</v>
      </c>
      <c r="B4" s="10"/>
      <c r="C4" s="10"/>
      <c r="D4" s="10"/>
      <c r="E4" s="10"/>
      <c r="F4" s="10"/>
      <c r="G4" s="10"/>
      <c r="K4" s="7"/>
      <c r="L4" s="1" t="s">
        <v>5</v>
      </c>
      <c r="M4" s="6" t="s">
        <v>6</v>
      </c>
      <c r="N4" s="1" t="s">
        <v>7</v>
      </c>
      <c r="O4" s="6" t="s">
        <v>8</v>
      </c>
      <c r="P4" s="1" t="s">
        <v>1</v>
      </c>
      <c r="Q4" s="1" t="s">
        <v>0</v>
      </c>
      <c r="U4" s="5"/>
      <c r="V4" s="1" t="s">
        <v>5</v>
      </c>
      <c r="W4" s="6" t="s">
        <v>6</v>
      </c>
      <c r="X4" s="1" t="s">
        <v>7</v>
      </c>
      <c r="Y4" s="6" t="s">
        <v>8</v>
      </c>
      <c r="Z4" s="1" t="s">
        <v>1</v>
      </c>
      <c r="AA4" s="1" t="s">
        <v>0</v>
      </c>
      <c r="AD4" s="7"/>
      <c r="AE4" s="1" t="s">
        <v>5</v>
      </c>
      <c r="AF4" s="6" t="s">
        <v>6</v>
      </c>
      <c r="AG4" s="1" t="s">
        <v>7</v>
      </c>
      <c r="AH4" s="6" t="s">
        <v>8</v>
      </c>
      <c r="AI4" s="1" t="s">
        <v>1</v>
      </c>
      <c r="AJ4" s="1" t="s">
        <v>0</v>
      </c>
    </row>
    <row r="5" spans="1:36" ht="42" customHeight="1" x14ac:dyDescent="0.25">
      <c r="A5" s="5"/>
      <c r="B5" s="1" t="s">
        <v>5</v>
      </c>
      <c r="C5" s="6" t="s">
        <v>6</v>
      </c>
      <c r="D5" s="1" t="s">
        <v>7</v>
      </c>
      <c r="E5" s="6" t="s">
        <v>8</v>
      </c>
      <c r="F5" s="1" t="s">
        <v>1</v>
      </c>
      <c r="G5" s="1" t="s">
        <v>0</v>
      </c>
      <c r="K5" s="1" t="s">
        <v>9</v>
      </c>
      <c r="L5">
        <v>4.7140000000000004</v>
      </c>
      <c r="M5">
        <v>4.9050000000000002</v>
      </c>
      <c r="N5">
        <v>0.40699999999999997</v>
      </c>
      <c r="O5">
        <v>0.38700000000000001</v>
      </c>
      <c r="P5">
        <v>1.57</v>
      </c>
      <c r="Q5">
        <v>0.82399999999999995</v>
      </c>
      <c r="U5" s="1" t="s">
        <v>9</v>
      </c>
      <c r="V5">
        <v>0</v>
      </c>
      <c r="W5">
        <v>0</v>
      </c>
      <c r="X5">
        <v>0</v>
      </c>
      <c r="Z5">
        <v>0.25900000000000001</v>
      </c>
      <c r="AA5">
        <v>0.27700000000000002</v>
      </c>
      <c r="AD5" s="1" t="s">
        <v>9</v>
      </c>
      <c r="AE5">
        <v>2</v>
      </c>
      <c r="AF5">
        <v>1</v>
      </c>
      <c r="AG5">
        <v>168</v>
      </c>
      <c r="AH5">
        <v>173</v>
      </c>
      <c r="AI5">
        <v>16</v>
      </c>
      <c r="AJ5">
        <v>4</v>
      </c>
    </row>
    <row r="6" spans="1:36" x14ac:dyDescent="0.25">
      <c r="A6" s="1" t="s">
        <v>9</v>
      </c>
      <c r="B6">
        <v>3183</v>
      </c>
      <c r="C6">
        <v>3089</v>
      </c>
      <c r="D6">
        <v>3383</v>
      </c>
      <c r="E6">
        <v>3389</v>
      </c>
      <c r="F6">
        <v>1490</v>
      </c>
      <c r="G6">
        <v>1271</v>
      </c>
      <c r="K6" s="1" t="s">
        <v>10</v>
      </c>
      <c r="L6">
        <v>4.8410000000000002</v>
      </c>
      <c r="M6">
        <v>4.3739999999999997</v>
      </c>
      <c r="N6">
        <v>0.51</v>
      </c>
      <c r="O6">
        <v>0.35399999999999998</v>
      </c>
      <c r="P6">
        <v>0.753</v>
      </c>
      <c r="Q6">
        <v>0.80400000000000005</v>
      </c>
      <c r="U6" s="1" t="s">
        <v>10</v>
      </c>
      <c r="V6">
        <v>0</v>
      </c>
      <c r="W6">
        <v>0</v>
      </c>
      <c r="Z6">
        <v>0.25900000000000001</v>
      </c>
      <c r="AA6">
        <v>0.28399999999999997</v>
      </c>
      <c r="AD6" s="1" t="s">
        <v>10</v>
      </c>
      <c r="AE6">
        <v>1</v>
      </c>
      <c r="AF6">
        <v>2</v>
      </c>
      <c r="AG6">
        <v>183</v>
      </c>
      <c r="AH6">
        <v>178</v>
      </c>
      <c r="AI6">
        <v>10</v>
      </c>
      <c r="AJ6">
        <v>9</v>
      </c>
    </row>
    <row r="7" spans="1:36" x14ac:dyDescent="0.25">
      <c r="A7" s="1" t="s">
        <v>10</v>
      </c>
      <c r="B7">
        <v>3139</v>
      </c>
      <c r="C7">
        <v>3087</v>
      </c>
      <c r="D7">
        <v>3394</v>
      </c>
      <c r="E7">
        <v>3342</v>
      </c>
      <c r="F7">
        <v>1303</v>
      </c>
      <c r="G7">
        <v>1376</v>
      </c>
      <c r="K7" s="1" t="s">
        <v>11</v>
      </c>
      <c r="L7">
        <v>4.7279999999999998</v>
      </c>
      <c r="M7">
        <v>4.6660000000000004</v>
      </c>
      <c r="N7">
        <v>0.441</v>
      </c>
      <c r="O7">
        <v>0.36099999999999999</v>
      </c>
      <c r="P7">
        <v>0.68899999999999995</v>
      </c>
      <c r="Q7">
        <v>0.77900000000000003</v>
      </c>
      <c r="U7" s="1" t="s">
        <v>11</v>
      </c>
      <c r="V7">
        <v>0</v>
      </c>
      <c r="W7">
        <v>0</v>
      </c>
      <c r="Z7">
        <v>0.26400000000000001</v>
      </c>
      <c r="AA7">
        <v>0.28199999999999997</v>
      </c>
      <c r="AD7" s="1" t="s">
        <v>11</v>
      </c>
      <c r="AE7">
        <v>81</v>
      </c>
      <c r="AF7">
        <v>1</v>
      </c>
      <c r="AG7">
        <v>183</v>
      </c>
      <c r="AH7">
        <v>169</v>
      </c>
      <c r="AI7">
        <v>24</v>
      </c>
      <c r="AJ7">
        <v>17</v>
      </c>
    </row>
    <row r="8" spans="1:36" x14ac:dyDescent="0.25">
      <c r="A8" s="1" t="s">
        <v>11</v>
      </c>
      <c r="B8">
        <v>3241</v>
      </c>
      <c r="C8">
        <v>3068</v>
      </c>
      <c r="D8">
        <v>3407</v>
      </c>
      <c r="E8">
        <v>3334</v>
      </c>
      <c r="F8">
        <v>1362</v>
      </c>
      <c r="G8">
        <v>1302</v>
      </c>
      <c r="K8" s="1" t="s">
        <v>12</v>
      </c>
      <c r="L8">
        <v>4.4240000000000004</v>
      </c>
      <c r="M8">
        <v>4.5839999999999996</v>
      </c>
      <c r="N8">
        <v>0.47199999999999998</v>
      </c>
      <c r="O8">
        <v>0.32600000000000001</v>
      </c>
      <c r="P8">
        <v>0.85099999999999998</v>
      </c>
      <c r="Q8">
        <v>0.86699999999999999</v>
      </c>
      <c r="U8" s="1" t="s">
        <v>12</v>
      </c>
      <c r="V8">
        <v>0</v>
      </c>
      <c r="W8">
        <v>0</v>
      </c>
      <c r="Z8">
        <v>0.252</v>
      </c>
      <c r="AA8">
        <v>0.27889999999999998</v>
      </c>
      <c r="AD8" s="1" t="s">
        <v>12</v>
      </c>
      <c r="AE8">
        <v>1</v>
      </c>
      <c r="AF8">
        <v>21</v>
      </c>
      <c r="AG8">
        <v>198</v>
      </c>
      <c r="AH8">
        <v>171</v>
      </c>
      <c r="AI8">
        <v>24</v>
      </c>
      <c r="AJ8">
        <v>5</v>
      </c>
    </row>
    <row r="9" spans="1:36" x14ac:dyDescent="0.25">
      <c r="A9" s="1" t="s">
        <v>12</v>
      </c>
      <c r="B9">
        <v>3100</v>
      </c>
      <c r="C9">
        <v>3140</v>
      </c>
      <c r="D9">
        <v>3378</v>
      </c>
      <c r="E9">
        <v>3351</v>
      </c>
      <c r="F9">
        <v>1337</v>
      </c>
      <c r="G9">
        <v>1273</v>
      </c>
      <c r="K9" s="1" t="s">
        <v>13</v>
      </c>
      <c r="L9">
        <v>4.5359999999999996</v>
      </c>
      <c r="M9">
        <v>4.5529999999999999</v>
      </c>
      <c r="N9">
        <v>0.44800000000000001</v>
      </c>
      <c r="O9">
        <v>0.34599999999999997</v>
      </c>
      <c r="P9">
        <v>0.68200000000000005</v>
      </c>
      <c r="Q9">
        <v>0.77500000000000002</v>
      </c>
      <c r="U9" s="1" t="s">
        <v>13</v>
      </c>
      <c r="V9">
        <v>0</v>
      </c>
      <c r="W9">
        <v>0</v>
      </c>
      <c r="Z9">
        <v>0.25</v>
      </c>
      <c r="AA9">
        <v>0.26300000000000001</v>
      </c>
      <c r="AD9" s="1" t="s">
        <v>13</v>
      </c>
      <c r="AE9">
        <v>9</v>
      </c>
      <c r="AF9">
        <v>1</v>
      </c>
      <c r="AG9">
        <v>181</v>
      </c>
      <c r="AH9">
        <v>170</v>
      </c>
      <c r="AI9">
        <v>16</v>
      </c>
      <c r="AJ9">
        <v>10</v>
      </c>
    </row>
    <row r="10" spans="1:36" x14ac:dyDescent="0.25">
      <c r="A10" s="1" t="s">
        <v>13</v>
      </c>
      <c r="B10">
        <v>3228</v>
      </c>
      <c r="C10">
        <v>2929</v>
      </c>
      <c r="D10">
        <v>3394</v>
      </c>
      <c r="E10">
        <v>3336</v>
      </c>
      <c r="F10">
        <v>1342</v>
      </c>
      <c r="G10">
        <v>1285</v>
      </c>
    </row>
    <row r="11" spans="1:36" x14ac:dyDescent="0.25">
      <c r="U11" s="16" t="s">
        <v>17</v>
      </c>
      <c r="V11" s="16"/>
      <c r="W11" s="16"/>
    </row>
    <row r="12" spans="1:36" x14ac:dyDescent="0.25">
      <c r="V12" s="1" t="s">
        <v>0</v>
      </c>
      <c r="W12" s="1" t="s">
        <v>1</v>
      </c>
    </row>
    <row r="13" spans="1:36" x14ac:dyDescent="0.25">
      <c r="U13" s="1" t="s">
        <v>9</v>
      </c>
      <c r="V13" s="4">
        <v>0.30005300000000001</v>
      </c>
      <c r="W13" s="4">
        <v>0.28110499999999999</v>
      </c>
    </row>
    <row r="14" spans="1:36" x14ac:dyDescent="0.25">
      <c r="K14" s="11" t="s">
        <v>69</v>
      </c>
      <c r="L14" s="11"/>
      <c r="M14" s="11"/>
      <c r="N14" s="11"/>
      <c r="O14" s="11"/>
      <c r="P14" s="11"/>
      <c r="Q14" s="11"/>
      <c r="U14" s="1" t="s">
        <v>10</v>
      </c>
      <c r="V14" s="4">
        <v>0.31176999999999999</v>
      </c>
      <c r="W14" s="4">
        <v>0.28264</v>
      </c>
      <c r="AD14" s="11" t="s">
        <v>69</v>
      </c>
      <c r="AE14" s="11"/>
      <c r="AF14" s="11"/>
      <c r="AG14" s="11"/>
      <c r="AH14" s="11"/>
      <c r="AI14" s="11"/>
      <c r="AJ14" s="11"/>
    </row>
    <row r="15" spans="1:36" x14ac:dyDescent="0.25">
      <c r="C15" t="s">
        <v>3</v>
      </c>
      <c r="K15" s="13" t="s">
        <v>15</v>
      </c>
      <c r="L15" s="14"/>
      <c r="M15" s="14"/>
      <c r="N15" s="14"/>
      <c r="O15" s="14"/>
      <c r="P15" s="14"/>
      <c r="Q15" s="15"/>
      <c r="U15" s="1" t="s">
        <v>11</v>
      </c>
      <c r="V15" s="4">
        <v>0.30499999999999999</v>
      </c>
      <c r="W15" s="4">
        <v>0.28015800000000002</v>
      </c>
      <c r="AD15" s="13" t="s">
        <v>2</v>
      </c>
      <c r="AE15" s="14"/>
      <c r="AF15" s="14"/>
      <c r="AG15" s="14"/>
      <c r="AH15" s="14"/>
      <c r="AI15" s="14"/>
      <c r="AJ15" s="15"/>
    </row>
    <row r="16" spans="1:36" ht="28.5" customHeight="1" x14ac:dyDescent="0.25">
      <c r="A16" s="11" t="s">
        <v>69</v>
      </c>
      <c r="B16" s="11"/>
      <c r="C16" s="11"/>
      <c r="D16" s="11"/>
      <c r="E16" s="11"/>
      <c r="F16" s="11"/>
      <c r="G16" s="11"/>
      <c r="K16" s="7"/>
      <c r="L16" s="1" t="s">
        <v>5</v>
      </c>
      <c r="M16" s="6" t="s">
        <v>6</v>
      </c>
      <c r="N16" s="1" t="s">
        <v>7</v>
      </c>
      <c r="O16" s="6" t="s">
        <v>8</v>
      </c>
      <c r="P16" s="1" t="s">
        <v>1</v>
      </c>
      <c r="Q16" s="1" t="s">
        <v>0</v>
      </c>
      <c r="U16" s="1" t="s">
        <v>12</v>
      </c>
      <c r="V16" s="4">
        <v>0.30619000000000002</v>
      </c>
      <c r="W16" s="4">
        <v>0.27464</v>
      </c>
      <c r="AD16" s="7"/>
      <c r="AE16" s="1" t="s">
        <v>5</v>
      </c>
      <c r="AF16" s="6" t="s">
        <v>6</v>
      </c>
      <c r="AG16" s="1" t="s">
        <v>7</v>
      </c>
      <c r="AH16" s="6" t="s">
        <v>8</v>
      </c>
      <c r="AI16" s="1" t="s">
        <v>1</v>
      </c>
      <c r="AJ16" s="1" t="s">
        <v>0</v>
      </c>
    </row>
    <row r="17" spans="1:36" x14ac:dyDescent="0.25">
      <c r="A17" s="14" t="s">
        <v>4</v>
      </c>
      <c r="B17" s="14"/>
      <c r="C17" s="14"/>
      <c r="D17" s="14"/>
      <c r="E17" s="14"/>
      <c r="F17" s="14"/>
      <c r="G17" s="14"/>
      <c r="K17" s="1" t="s">
        <v>9</v>
      </c>
      <c r="L17">
        <v>4.1660000000000004</v>
      </c>
      <c r="M17">
        <v>3.8140000000000001</v>
      </c>
      <c r="N17">
        <v>0.44700000000000001</v>
      </c>
      <c r="O17">
        <v>0.313</v>
      </c>
      <c r="P17">
        <v>0.54800000000000004</v>
      </c>
      <c r="Q17">
        <v>0.82399999999999995</v>
      </c>
      <c r="U17" s="1" t="s">
        <v>13</v>
      </c>
      <c r="V17" s="4">
        <v>0.28906999999999999</v>
      </c>
      <c r="W17" s="4">
        <v>0.27278000000000002</v>
      </c>
      <c r="AD17" s="1" t="s">
        <v>9</v>
      </c>
      <c r="AE17">
        <v>4</v>
      </c>
      <c r="AF17">
        <v>68</v>
      </c>
      <c r="AG17">
        <v>164</v>
      </c>
      <c r="AH17">
        <v>172</v>
      </c>
      <c r="AI17">
        <v>11</v>
      </c>
      <c r="AJ17">
        <v>4</v>
      </c>
    </row>
    <row r="18" spans="1:36" ht="36.75" customHeight="1" x14ac:dyDescent="0.25">
      <c r="A18" s="5"/>
      <c r="B18" s="1" t="s">
        <v>5</v>
      </c>
      <c r="C18" s="6" t="s">
        <v>6</v>
      </c>
      <c r="D18" s="1" t="s">
        <v>7</v>
      </c>
      <c r="E18" s="6" t="s">
        <v>8</v>
      </c>
      <c r="F18" s="1" t="s">
        <v>1</v>
      </c>
      <c r="G18" s="1" t="s">
        <v>0</v>
      </c>
      <c r="K18" s="1" t="s">
        <v>10</v>
      </c>
      <c r="L18">
        <v>4.0830000000000002</v>
      </c>
      <c r="M18">
        <v>4.12</v>
      </c>
      <c r="N18">
        <v>0.52800000000000002</v>
      </c>
      <c r="O18">
        <v>0.33300000000000002</v>
      </c>
      <c r="P18">
        <v>0.59399999999999997</v>
      </c>
      <c r="Q18">
        <v>0.80400000000000005</v>
      </c>
      <c r="AD18" s="1" t="s">
        <v>10</v>
      </c>
      <c r="AE18">
        <v>43</v>
      </c>
      <c r="AF18">
        <v>1</v>
      </c>
      <c r="AG18">
        <v>126</v>
      </c>
      <c r="AH18">
        <v>170</v>
      </c>
      <c r="AI18">
        <v>20</v>
      </c>
      <c r="AJ18">
        <v>9</v>
      </c>
    </row>
    <row r="19" spans="1:36" x14ac:dyDescent="0.25">
      <c r="A19" s="1" t="s">
        <v>9</v>
      </c>
      <c r="B19">
        <v>2867</v>
      </c>
      <c r="C19">
        <v>2910</v>
      </c>
      <c r="D19">
        <v>3257</v>
      </c>
      <c r="E19">
        <v>3236</v>
      </c>
      <c r="F19">
        <v>1443</v>
      </c>
      <c r="G19">
        <v>1271</v>
      </c>
      <c r="K19" s="1" t="s">
        <v>11</v>
      </c>
      <c r="L19">
        <v>4.0650000000000004</v>
      </c>
      <c r="M19">
        <v>4.2530000000000001</v>
      </c>
      <c r="N19">
        <v>0.45600000000000002</v>
      </c>
      <c r="O19">
        <v>0.35499999999999998</v>
      </c>
      <c r="P19">
        <v>0.63200000000000001</v>
      </c>
      <c r="Q19">
        <v>0.77900000000000003</v>
      </c>
      <c r="AD19" s="1" t="s">
        <v>11</v>
      </c>
      <c r="AE19">
        <v>82</v>
      </c>
      <c r="AF19">
        <v>53</v>
      </c>
      <c r="AG19">
        <v>171</v>
      </c>
      <c r="AH19">
        <v>151</v>
      </c>
      <c r="AI19">
        <v>22</v>
      </c>
      <c r="AJ19">
        <v>17</v>
      </c>
    </row>
    <row r="20" spans="1:36" x14ac:dyDescent="0.25">
      <c r="A20" s="1" t="s">
        <v>10</v>
      </c>
      <c r="B20">
        <v>2887</v>
      </c>
      <c r="C20">
        <v>3032</v>
      </c>
      <c r="D20">
        <v>3284</v>
      </c>
      <c r="E20">
        <v>3215</v>
      </c>
      <c r="F20">
        <v>1484</v>
      </c>
      <c r="G20">
        <v>1376</v>
      </c>
      <c r="K20" s="1" t="s">
        <v>12</v>
      </c>
      <c r="L20">
        <v>4.4089999999999998</v>
      </c>
      <c r="M20">
        <v>3.847</v>
      </c>
      <c r="N20">
        <v>0.45300000000000001</v>
      </c>
      <c r="O20">
        <v>0.30199999999999999</v>
      </c>
      <c r="P20">
        <v>0.60699999999999998</v>
      </c>
      <c r="Q20">
        <v>0.86699999999999999</v>
      </c>
      <c r="AD20" s="1" t="s">
        <v>12</v>
      </c>
      <c r="AE20">
        <v>106</v>
      </c>
      <c r="AF20">
        <v>25</v>
      </c>
      <c r="AG20">
        <v>145</v>
      </c>
      <c r="AH20">
        <v>165</v>
      </c>
      <c r="AI20">
        <v>13</v>
      </c>
      <c r="AJ20">
        <v>5</v>
      </c>
    </row>
    <row r="21" spans="1:36" x14ac:dyDescent="0.25">
      <c r="A21" s="1" t="s">
        <v>11</v>
      </c>
      <c r="B21">
        <v>2943</v>
      </c>
      <c r="C21">
        <v>2923</v>
      </c>
      <c r="D21">
        <v>3226</v>
      </c>
      <c r="E21">
        <v>3084</v>
      </c>
      <c r="F21">
        <v>1470</v>
      </c>
      <c r="G21">
        <v>1302</v>
      </c>
      <c r="K21" s="1" t="s">
        <v>13</v>
      </c>
      <c r="L21">
        <v>3.8740000000000001</v>
      </c>
      <c r="M21">
        <v>4.2939999999999996</v>
      </c>
      <c r="N21">
        <v>0.49099999999999999</v>
      </c>
      <c r="O21">
        <v>0.30099999999999999</v>
      </c>
      <c r="P21">
        <v>0.61499999999999999</v>
      </c>
      <c r="Q21">
        <v>0.77500000000000002</v>
      </c>
      <c r="AD21" s="1" t="s">
        <v>13</v>
      </c>
      <c r="AE21">
        <v>31</v>
      </c>
      <c r="AF21">
        <v>1</v>
      </c>
      <c r="AG21">
        <v>168</v>
      </c>
      <c r="AH21">
        <v>174</v>
      </c>
      <c r="AI21">
        <v>15</v>
      </c>
      <c r="AJ21">
        <v>10</v>
      </c>
    </row>
    <row r="22" spans="1:36" x14ac:dyDescent="0.25">
      <c r="A22" s="1" t="s">
        <v>12</v>
      </c>
      <c r="B22">
        <v>2998</v>
      </c>
      <c r="C22">
        <v>2898</v>
      </c>
      <c r="D22">
        <v>3077</v>
      </c>
      <c r="E22">
        <v>3194</v>
      </c>
      <c r="F22">
        <v>1437</v>
      </c>
      <c r="G22">
        <v>1273</v>
      </c>
      <c r="U22" s="11" t="s">
        <v>69</v>
      </c>
      <c r="V22" s="11"/>
      <c r="W22" s="11"/>
      <c r="X22" s="11"/>
      <c r="Y22" s="11"/>
      <c r="Z22" s="11"/>
      <c r="AA22" s="11"/>
    </row>
    <row r="23" spans="1:36" x14ac:dyDescent="0.25">
      <c r="A23" s="1" t="s">
        <v>13</v>
      </c>
      <c r="B23">
        <v>2999</v>
      </c>
      <c r="C23">
        <v>2896</v>
      </c>
      <c r="D23">
        <v>3206</v>
      </c>
      <c r="E23">
        <v>3138</v>
      </c>
      <c r="F23">
        <v>1404</v>
      </c>
      <c r="G23">
        <v>1285</v>
      </c>
      <c r="U23" s="10" t="s">
        <v>16</v>
      </c>
      <c r="V23" s="10"/>
      <c r="W23" s="10"/>
      <c r="X23" s="10"/>
      <c r="Y23" s="10"/>
      <c r="Z23" s="10"/>
      <c r="AA23" s="10"/>
    </row>
    <row r="24" spans="1:36" ht="105" x14ac:dyDescent="0.25">
      <c r="U24" s="5"/>
      <c r="V24" s="1" t="s">
        <v>5</v>
      </c>
      <c r="W24" s="6" t="s">
        <v>6</v>
      </c>
      <c r="X24" s="1" t="s">
        <v>7</v>
      </c>
      <c r="Y24" s="6" t="s">
        <v>8</v>
      </c>
      <c r="Z24" s="1" t="s">
        <v>1</v>
      </c>
      <c r="AA24" s="1" t="s">
        <v>0</v>
      </c>
    </row>
    <row r="25" spans="1:36" x14ac:dyDescent="0.25">
      <c r="K25" s="11" t="s">
        <v>74</v>
      </c>
      <c r="L25" s="11"/>
      <c r="M25" s="11"/>
      <c r="N25" s="11"/>
      <c r="O25" s="11"/>
      <c r="P25" s="11"/>
      <c r="Q25" s="11"/>
      <c r="U25" s="1" t="s">
        <v>9</v>
      </c>
      <c r="V25">
        <v>0</v>
      </c>
      <c r="W25">
        <v>0</v>
      </c>
      <c r="Z25">
        <v>0.26300000000000001</v>
      </c>
      <c r="AA25">
        <v>0.27700000000000002</v>
      </c>
      <c r="AD25" s="11" t="s">
        <v>74</v>
      </c>
      <c r="AE25" s="11"/>
      <c r="AF25" s="11"/>
      <c r="AG25" s="11"/>
      <c r="AH25" s="11"/>
      <c r="AI25" s="11"/>
      <c r="AJ25" s="11"/>
    </row>
    <row r="26" spans="1:36" x14ac:dyDescent="0.25">
      <c r="K26" s="13" t="s">
        <v>15</v>
      </c>
      <c r="L26" s="14"/>
      <c r="M26" s="14"/>
      <c r="N26" s="14"/>
      <c r="O26" s="14"/>
      <c r="P26" s="14"/>
      <c r="Q26" s="15"/>
      <c r="U26" s="1" t="s">
        <v>10</v>
      </c>
      <c r="V26">
        <v>0</v>
      </c>
      <c r="W26">
        <v>0</v>
      </c>
      <c r="Z26">
        <v>0.26100000000000001</v>
      </c>
      <c r="AA26">
        <v>0.28399999999999997</v>
      </c>
      <c r="AD26" s="13" t="s">
        <v>2</v>
      </c>
      <c r="AE26" s="14"/>
      <c r="AF26" s="14"/>
      <c r="AG26" s="14"/>
      <c r="AH26" s="14"/>
      <c r="AI26" s="14"/>
      <c r="AJ26" s="15"/>
    </row>
    <row r="27" spans="1:36" ht="105" x14ac:dyDescent="0.25">
      <c r="K27" s="7"/>
      <c r="L27" s="1" t="s">
        <v>5</v>
      </c>
      <c r="M27" s="6" t="s">
        <v>6</v>
      </c>
      <c r="N27" s="1" t="s">
        <v>7</v>
      </c>
      <c r="O27" s="6" t="s">
        <v>8</v>
      </c>
      <c r="P27" s="1" t="s">
        <v>1</v>
      </c>
      <c r="Q27" s="1" t="s">
        <v>0</v>
      </c>
      <c r="U27" s="1" t="s">
        <v>11</v>
      </c>
      <c r="V27">
        <v>0</v>
      </c>
      <c r="W27">
        <v>0</v>
      </c>
      <c r="Z27">
        <v>0.254</v>
      </c>
      <c r="AA27">
        <v>0.28199999999999997</v>
      </c>
      <c r="AD27" s="7"/>
      <c r="AE27" s="1" t="s">
        <v>5</v>
      </c>
      <c r="AF27" s="6" t="s">
        <v>6</v>
      </c>
      <c r="AG27" s="1" t="s">
        <v>7</v>
      </c>
      <c r="AH27" s="6" t="s">
        <v>8</v>
      </c>
      <c r="AI27" s="1" t="s">
        <v>1</v>
      </c>
      <c r="AJ27" s="1" t="s">
        <v>0</v>
      </c>
    </row>
    <row r="28" spans="1:36" x14ac:dyDescent="0.25">
      <c r="C28" t="s">
        <v>3</v>
      </c>
      <c r="K28" s="1" t="s">
        <v>9</v>
      </c>
      <c r="L28">
        <v>3.2770000000000001</v>
      </c>
      <c r="M28">
        <v>3.4569999999999999</v>
      </c>
      <c r="N28">
        <v>0.25900000000000001</v>
      </c>
      <c r="O28">
        <v>0.25800000000000001</v>
      </c>
      <c r="P28">
        <v>1.3049999999999999</v>
      </c>
      <c r="Q28">
        <v>0.82399999999999995</v>
      </c>
      <c r="U28" s="1" t="s">
        <v>12</v>
      </c>
      <c r="V28">
        <v>0</v>
      </c>
      <c r="W28">
        <v>0</v>
      </c>
      <c r="Z28">
        <v>0.25900000000000001</v>
      </c>
      <c r="AA28">
        <v>0.27889999999999998</v>
      </c>
      <c r="AD28" s="1" t="s">
        <v>9</v>
      </c>
      <c r="AE28">
        <v>15</v>
      </c>
      <c r="AF28">
        <v>80</v>
      </c>
      <c r="AG28">
        <v>138</v>
      </c>
      <c r="AH28">
        <v>149</v>
      </c>
      <c r="AI28">
        <v>20</v>
      </c>
      <c r="AJ28">
        <v>4</v>
      </c>
    </row>
    <row r="29" spans="1:36" x14ac:dyDescent="0.25">
      <c r="A29" s="11" t="s">
        <v>70</v>
      </c>
      <c r="B29" s="11"/>
      <c r="C29" s="11"/>
      <c r="D29" s="11"/>
      <c r="E29" s="11"/>
      <c r="F29" s="11"/>
      <c r="G29" s="11"/>
      <c r="K29" s="1" t="s">
        <v>10</v>
      </c>
      <c r="L29">
        <v>3.1429999999999998</v>
      </c>
      <c r="M29">
        <v>3.4620000000000002</v>
      </c>
      <c r="N29">
        <v>0.32900000000000001</v>
      </c>
      <c r="O29">
        <v>0.28100000000000003</v>
      </c>
      <c r="P29">
        <v>1.5009999999999999</v>
      </c>
      <c r="Q29">
        <v>0.80400000000000005</v>
      </c>
      <c r="U29" s="1" t="s">
        <v>13</v>
      </c>
      <c r="V29">
        <v>0</v>
      </c>
      <c r="W29">
        <v>0</v>
      </c>
      <c r="Z29">
        <v>0.25900000000000001</v>
      </c>
      <c r="AA29">
        <v>0.26300000000000001</v>
      </c>
      <c r="AD29" s="1" t="s">
        <v>10</v>
      </c>
      <c r="AE29">
        <v>35</v>
      </c>
      <c r="AF29">
        <v>1</v>
      </c>
      <c r="AG29">
        <v>142</v>
      </c>
      <c r="AH29">
        <v>168</v>
      </c>
      <c r="AI29">
        <v>24</v>
      </c>
      <c r="AJ29">
        <v>9</v>
      </c>
    </row>
    <row r="30" spans="1:36" x14ac:dyDescent="0.25">
      <c r="A30" s="10" t="s">
        <v>4</v>
      </c>
      <c r="B30" s="10"/>
      <c r="C30" s="10"/>
      <c r="D30" s="10"/>
      <c r="E30" s="10"/>
      <c r="F30" s="10"/>
      <c r="G30" s="10"/>
      <c r="K30" s="1" t="s">
        <v>11</v>
      </c>
      <c r="L30">
        <v>2.899</v>
      </c>
      <c r="M30">
        <v>3.6640000000000001</v>
      </c>
      <c r="N30">
        <v>0.30399999999999999</v>
      </c>
      <c r="O30">
        <v>0.29899999999999999</v>
      </c>
      <c r="P30">
        <v>0.63</v>
      </c>
      <c r="Q30">
        <v>0.77900000000000003</v>
      </c>
      <c r="AD30" s="1" t="s">
        <v>11</v>
      </c>
      <c r="AE30">
        <v>40</v>
      </c>
      <c r="AF30">
        <v>3</v>
      </c>
      <c r="AG30">
        <v>118</v>
      </c>
      <c r="AH30">
        <v>123</v>
      </c>
      <c r="AI30">
        <v>25</v>
      </c>
      <c r="AJ30">
        <v>17</v>
      </c>
    </row>
    <row r="31" spans="1:36" ht="27" customHeight="1" x14ac:dyDescent="0.25">
      <c r="A31" s="5"/>
      <c r="B31" s="1" t="s">
        <v>5</v>
      </c>
      <c r="C31" s="6" t="s">
        <v>6</v>
      </c>
      <c r="D31" s="1" t="s">
        <v>7</v>
      </c>
      <c r="E31" s="6" t="s">
        <v>8</v>
      </c>
      <c r="F31" s="1" t="s">
        <v>1</v>
      </c>
      <c r="G31" s="1" t="s">
        <v>0</v>
      </c>
      <c r="K31" s="1" t="s">
        <v>12</v>
      </c>
      <c r="L31">
        <v>3.3279999999999998</v>
      </c>
      <c r="M31">
        <v>2.9740000000000002</v>
      </c>
      <c r="N31">
        <v>0.28100000000000003</v>
      </c>
      <c r="O31">
        <v>0.29899999999999999</v>
      </c>
      <c r="P31">
        <v>0.83399999999999996</v>
      </c>
      <c r="Q31">
        <v>0.86699999999999999</v>
      </c>
      <c r="U31" s="16" t="s">
        <v>17</v>
      </c>
      <c r="V31" s="16"/>
      <c r="W31" s="16"/>
      <c r="AD31" s="1" t="s">
        <v>12</v>
      </c>
      <c r="AE31">
        <v>41</v>
      </c>
      <c r="AF31">
        <v>73</v>
      </c>
      <c r="AG31">
        <v>118</v>
      </c>
      <c r="AH31">
        <v>128</v>
      </c>
      <c r="AI31">
        <v>19</v>
      </c>
      <c r="AJ31">
        <v>5</v>
      </c>
    </row>
    <row r="32" spans="1:36" x14ac:dyDescent="0.25">
      <c r="A32" s="1" t="s">
        <v>9</v>
      </c>
      <c r="B32">
        <v>2812</v>
      </c>
      <c r="C32">
        <v>2869</v>
      </c>
      <c r="D32">
        <v>3100</v>
      </c>
      <c r="E32">
        <v>3163</v>
      </c>
      <c r="F32">
        <v>1368</v>
      </c>
      <c r="G32">
        <v>1271</v>
      </c>
      <c r="K32" s="1" t="s">
        <v>13</v>
      </c>
      <c r="L32">
        <v>3.35</v>
      </c>
      <c r="M32">
        <v>3.3679999999999999</v>
      </c>
      <c r="N32">
        <v>0.40100000000000002</v>
      </c>
      <c r="O32">
        <v>0.28199999999999997</v>
      </c>
      <c r="P32">
        <v>0.69699999999999995</v>
      </c>
      <c r="Q32">
        <v>0.77500000000000002</v>
      </c>
      <c r="V32" s="1" t="s">
        <v>0</v>
      </c>
      <c r="W32" s="1" t="s">
        <v>1</v>
      </c>
      <c r="AD32" s="1" t="s">
        <v>13</v>
      </c>
      <c r="AE32">
        <v>10</v>
      </c>
      <c r="AF32">
        <v>2</v>
      </c>
      <c r="AG32">
        <v>150</v>
      </c>
      <c r="AH32">
        <v>167</v>
      </c>
      <c r="AI32">
        <v>16</v>
      </c>
      <c r="AJ32">
        <v>10</v>
      </c>
    </row>
    <row r="33" spans="1:36" x14ac:dyDescent="0.25">
      <c r="A33" s="1" t="s">
        <v>10</v>
      </c>
      <c r="B33">
        <v>3073</v>
      </c>
      <c r="C33">
        <v>2792</v>
      </c>
      <c r="D33">
        <v>3137</v>
      </c>
      <c r="E33">
        <v>3146</v>
      </c>
      <c r="F33">
        <v>1435</v>
      </c>
      <c r="G33">
        <v>1376</v>
      </c>
      <c r="U33" s="1" t="s">
        <v>9</v>
      </c>
      <c r="V33" s="4">
        <v>0.30005300000000001</v>
      </c>
      <c r="W33" s="4">
        <v>0.28681000000000001</v>
      </c>
    </row>
    <row r="34" spans="1:36" x14ac:dyDescent="0.25">
      <c r="A34" s="1" t="s">
        <v>11</v>
      </c>
      <c r="B34">
        <v>3058</v>
      </c>
      <c r="C34">
        <v>2997</v>
      </c>
      <c r="D34">
        <v>3164</v>
      </c>
      <c r="E34">
        <v>3163</v>
      </c>
      <c r="F34">
        <v>1546</v>
      </c>
      <c r="G34">
        <v>1302</v>
      </c>
      <c r="U34" s="1" t="s">
        <v>10</v>
      </c>
      <c r="V34" s="4">
        <v>0.31176999999999999</v>
      </c>
      <c r="W34" s="4">
        <v>0.284889</v>
      </c>
    </row>
    <row r="35" spans="1:36" x14ac:dyDescent="0.25">
      <c r="A35" s="1" t="s">
        <v>12</v>
      </c>
      <c r="B35">
        <v>2976</v>
      </c>
      <c r="C35">
        <v>2875</v>
      </c>
      <c r="D35">
        <v>3103</v>
      </c>
      <c r="E35">
        <v>3188</v>
      </c>
      <c r="F35">
        <v>1426</v>
      </c>
      <c r="G35">
        <v>1273</v>
      </c>
      <c r="U35" s="1" t="s">
        <v>11</v>
      </c>
      <c r="V35" s="4">
        <v>0.30499999999999999</v>
      </c>
      <c r="W35" s="4">
        <v>0.27706999999999998</v>
      </c>
    </row>
    <row r="36" spans="1:36" x14ac:dyDescent="0.25">
      <c r="A36" s="1" t="s">
        <v>13</v>
      </c>
      <c r="B36">
        <v>2725</v>
      </c>
      <c r="C36">
        <v>2965</v>
      </c>
      <c r="D36">
        <v>3202</v>
      </c>
      <c r="E36">
        <v>3056</v>
      </c>
      <c r="F36">
        <v>1523</v>
      </c>
      <c r="G36">
        <v>1285</v>
      </c>
      <c r="K36" s="11" t="s">
        <v>71</v>
      </c>
      <c r="L36" s="11"/>
      <c r="M36" s="11"/>
      <c r="N36" s="11"/>
      <c r="O36" s="11"/>
      <c r="P36" s="11"/>
      <c r="Q36" s="11"/>
      <c r="U36" s="1" t="s">
        <v>12</v>
      </c>
      <c r="V36" s="4">
        <v>0.30619000000000002</v>
      </c>
      <c r="W36" s="4">
        <v>0.28251999999999999</v>
      </c>
    </row>
    <row r="37" spans="1:36" x14ac:dyDescent="0.25">
      <c r="K37" s="13" t="s">
        <v>15</v>
      </c>
      <c r="L37" s="14"/>
      <c r="M37" s="14"/>
      <c r="N37" s="14"/>
      <c r="O37" s="14"/>
      <c r="P37" s="14"/>
      <c r="Q37" s="15"/>
      <c r="U37" s="1" t="s">
        <v>13</v>
      </c>
      <c r="V37" s="4">
        <v>0.28906999999999999</v>
      </c>
      <c r="W37" s="4">
        <v>0.28264</v>
      </c>
      <c r="AD37" s="11" t="s">
        <v>71</v>
      </c>
      <c r="AE37" s="11"/>
      <c r="AF37" s="11"/>
      <c r="AG37" s="11"/>
      <c r="AH37" s="11"/>
      <c r="AI37" s="11"/>
      <c r="AJ37" s="11"/>
    </row>
    <row r="38" spans="1:36" ht="36" customHeight="1" x14ac:dyDescent="0.25">
      <c r="K38" s="7"/>
      <c r="L38" s="1" t="s">
        <v>5</v>
      </c>
      <c r="M38" s="6" t="s">
        <v>6</v>
      </c>
      <c r="N38" s="1" t="s">
        <v>7</v>
      </c>
      <c r="O38" s="6" t="s">
        <v>8</v>
      </c>
      <c r="P38" s="1" t="s">
        <v>1</v>
      </c>
      <c r="Q38" s="1" t="s">
        <v>0</v>
      </c>
      <c r="AD38" s="13" t="s">
        <v>2</v>
      </c>
      <c r="AE38" s="14"/>
      <c r="AF38" s="14"/>
      <c r="AG38" s="14"/>
      <c r="AH38" s="14"/>
      <c r="AI38" s="14"/>
      <c r="AJ38" s="15"/>
    </row>
    <row r="39" spans="1:36" ht="33.75" customHeight="1" x14ac:dyDescent="0.25">
      <c r="K39" s="1" t="s">
        <v>9</v>
      </c>
      <c r="L39">
        <v>2.319</v>
      </c>
      <c r="M39">
        <v>2.61</v>
      </c>
      <c r="N39">
        <v>0.439</v>
      </c>
      <c r="O39">
        <v>0.28000000000000003</v>
      </c>
      <c r="P39">
        <v>0.55500000000000005</v>
      </c>
      <c r="Q39">
        <v>0.82399999999999995</v>
      </c>
      <c r="AD39" s="7"/>
      <c r="AE39" s="1" t="s">
        <v>5</v>
      </c>
      <c r="AF39" s="6" t="s">
        <v>6</v>
      </c>
      <c r="AG39" s="1" t="s">
        <v>7</v>
      </c>
      <c r="AH39" s="6" t="s">
        <v>8</v>
      </c>
      <c r="AI39" s="1" t="s">
        <v>1</v>
      </c>
      <c r="AJ39" s="1" t="s">
        <v>0</v>
      </c>
    </row>
    <row r="40" spans="1:36" x14ac:dyDescent="0.25">
      <c r="K40" s="1" t="s">
        <v>10</v>
      </c>
      <c r="L40">
        <v>2.37</v>
      </c>
      <c r="M40">
        <v>2.6659999999999999</v>
      </c>
      <c r="N40">
        <v>0.46899999999999997</v>
      </c>
      <c r="O40">
        <v>0.23699999999999999</v>
      </c>
      <c r="P40">
        <v>0.95</v>
      </c>
      <c r="Q40">
        <v>0.80400000000000005</v>
      </c>
      <c r="AD40" s="1" t="s">
        <v>9</v>
      </c>
      <c r="AE40">
        <v>16</v>
      </c>
      <c r="AF40">
        <v>52</v>
      </c>
      <c r="AG40">
        <v>73</v>
      </c>
      <c r="AH40">
        <v>81</v>
      </c>
      <c r="AI40">
        <v>15</v>
      </c>
      <c r="AJ40">
        <v>4</v>
      </c>
    </row>
    <row r="41" spans="1:36" x14ac:dyDescent="0.25">
      <c r="C41" t="s">
        <v>3</v>
      </c>
      <c r="K41" s="1" t="s">
        <v>11</v>
      </c>
      <c r="L41">
        <v>2.4380000000000002</v>
      </c>
      <c r="M41">
        <v>2.59</v>
      </c>
      <c r="N41">
        <v>0.46</v>
      </c>
      <c r="O41">
        <v>0.34100000000000003</v>
      </c>
      <c r="P41">
        <v>0.95299999999999996</v>
      </c>
      <c r="Q41">
        <v>0.77900000000000003</v>
      </c>
      <c r="U41" s="11" t="s">
        <v>74</v>
      </c>
      <c r="V41" s="11"/>
      <c r="W41" s="11"/>
      <c r="X41" s="11"/>
      <c r="Y41" s="11"/>
      <c r="Z41" s="11"/>
      <c r="AA41" s="11"/>
      <c r="AD41" s="1" t="s">
        <v>10</v>
      </c>
      <c r="AE41">
        <v>56</v>
      </c>
      <c r="AF41">
        <v>18</v>
      </c>
      <c r="AG41">
        <v>72</v>
      </c>
      <c r="AH41">
        <v>102</v>
      </c>
      <c r="AI41">
        <v>18</v>
      </c>
      <c r="AJ41">
        <v>9</v>
      </c>
    </row>
    <row r="42" spans="1:36" x14ac:dyDescent="0.25">
      <c r="A42" s="11" t="s">
        <v>71</v>
      </c>
      <c r="B42" s="11"/>
      <c r="C42" s="11"/>
      <c r="D42" s="11"/>
      <c r="E42" s="11"/>
      <c r="F42" s="11"/>
      <c r="G42" s="11"/>
      <c r="K42" s="1" t="s">
        <v>12</v>
      </c>
      <c r="L42">
        <v>2.48</v>
      </c>
      <c r="M42">
        <v>2.5979999999999999</v>
      </c>
      <c r="N42">
        <v>0.505</v>
      </c>
      <c r="O42">
        <v>0.34</v>
      </c>
      <c r="P42">
        <v>0.60099999999999998</v>
      </c>
      <c r="Q42">
        <v>0.86699999999999999</v>
      </c>
      <c r="U42" s="10" t="s">
        <v>16</v>
      </c>
      <c r="V42" s="10"/>
      <c r="W42" s="10"/>
      <c r="X42" s="10"/>
      <c r="Y42" s="10"/>
      <c r="Z42" s="10"/>
      <c r="AA42" s="10"/>
      <c r="AD42" s="1" t="s">
        <v>11</v>
      </c>
      <c r="AE42">
        <v>11</v>
      </c>
      <c r="AF42">
        <v>1</v>
      </c>
      <c r="AG42">
        <v>70</v>
      </c>
      <c r="AH42">
        <v>53</v>
      </c>
      <c r="AI42">
        <v>35</v>
      </c>
      <c r="AJ42">
        <v>17</v>
      </c>
    </row>
    <row r="43" spans="1:36" ht="25.5" customHeight="1" x14ac:dyDescent="0.25">
      <c r="A43" s="10" t="s">
        <v>4</v>
      </c>
      <c r="B43" s="10"/>
      <c r="C43" s="10"/>
      <c r="D43" s="10"/>
      <c r="E43" s="10"/>
      <c r="F43" s="10"/>
      <c r="G43" s="10"/>
      <c r="K43" s="1" t="s">
        <v>13</v>
      </c>
      <c r="L43">
        <v>2.3730000000000002</v>
      </c>
      <c r="M43">
        <v>2.2080000000000002</v>
      </c>
      <c r="N43">
        <v>0.49299999999999999</v>
      </c>
      <c r="O43">
        <v>0.28000000000000003</v>
      </c>
      <c r="P43">
        <v>0.65400000000000003</v>
      </c>
      <c r="Q43">
        <v>0.77500000000000002</v>
      </c>
      <c r="U43" s="5"/>
      <c r="V43" s="1" t="s">
        <v>5</v>
      </c>
      <c r="W43" s="6" t="s">
        <v>6</v>
      </c>
      <c r="X43" s="1" t="s">
        <v>7</v>
      </c>
      <c r="Y43" s="6" t="s">
        <v>8</v>
      </c>
      <c r="Z43" s="1" t="s">
        <v>1</v>
      </c>
      <c r="AA43" s="1" t="s">
        <v>0</v>
      </c>
      <c r="AD43" s="1" t="s">
        <v>12</v>
      </c>
      <c r="AE43">
        <v>21</v>
      </c>
      <c r="AF43">
        <v>23</v>
      </c>
      <c r="AG43">
        <v>77</v>
      </c>
      <c r="AH43">
        <v>97</v>
      </c>
      <c r="AI43">
        <v>15</v>
      </c>
      <c r="AJ43">
        <v>5</v>
      </c>
    </row>
    <row r="44" spans="1:36" ht="39.75" customHeight="1" x14ac:dyDescent="0.25">
      <c r="A44" s="5"/>
      <c r="B44" s="1" t="s">
        <v>5</v>
      </c>
      <c r="C44" s="6" t="s">
        <v>6</v>
      </c>
      <c r="D44" s="1" t="s">
        <v>7</v>
      </c>
      <c r="E44" s="6" t="s">
        <v>8</v>
      </c>
      <c r="F44" s="1" t="s">
        <v>1</v>
      </c>
      <c r="G44" s="1" t="s">
        <v>0</v>
      </c>
      <c r="U44" s="1" t="s">
        <v>9</v>
      </c>
      <c r="V44">
        <v>0</v>
      </c>
      <c r="W44">
        <v>0</v>
      </c>
      <c r="Z44">
        <v>0.25900000000000001</v>
      </c>
      <c r="AA44">
        <v>0.27700000000000002</v>
      </c>
      <c r="AD44" s="1" t="s">
        <v>13</v>
      </c>
      <c r="AE44">
        <v>109</v>
      </c>
      <c r="AF44">
        <v>2</v>
      </c>
      <c r="AG44">
        <v>72</v>
      </c>
      <c r="AH44">
        <v>113</v>
      </c>
      <c r="AI44">
        <v>22</v>
      </c>
      <c r="AJ44">
        <v>10</v>
      </c>
    </row>
    <row r="45" spans="1:36" x14ac:dyDescent="0.25">
      <c r="A45" s="1" t="s">
        <v>9</v>
      </c>
      <c r="B45">
        <v>2463</v>
      </c>
      <c r="C45">
        <v>2513</v>
      </c>
      <c r="D45">
        <v>2819</v>
      </c>
      <c r="E45">
        <v>2901</v>
      </c>
      <c r="F45">
        <v>1492</v>
      </c>
      <c r="G45">
        <v>1271</v>
      </c>
      <c r="U45" s="1" t="s">
        <v>10</v>
      </c>
      <c r="V45">
        <v>0</v>
      </c>
      <c r="W45">
        <v>0</v>
      </c>
      <c r="Z45">
        <v>0.254</v>
      </c>
      <c r="AA45">
        <v>0.28399999999999997</v>
      </c>
    </row>
    <row r="46" spans="1:36" x14ac:dyDescent="0.25">
      <c r="A46" s="1" t="s">
        <v>10</v>
      </c>
      <c r="B46">
        <v>2617</v>
      </c>
      <c r="C46">
        <v>2420</v>
      </c>
      <c r="D46">
        <v>2908</v>
      </c>
      <c r="E46">
        <v>2906</v>
      </c>
      <c r="F46">
        <v>1482</v>
      </c>
      <c r="G46">
        <v>1376</v>
      </c>
      <c r="U46" s="1" t="s">
        <v>11</v>
      </c>
      <c r="V46">
        <v>0</v>
      </c>
      <c r="W46">
        <v>0</v>
      </c>
      <c r="Z46">
        <v>0.25700000000000001</v>
      </c>
      <c r="AA46">
        <v>0.28199999999999997</v>
      </c>
    </row>
    <row r="47" spans="1:36" x14ac:dyDescent="0.25">
      <c r="A47" s="1" t="s">
        <v>11</v>
      </c>
      <c r="B47">
        <v>2616</v>
      </c>
      <c r="C47">
        <v>2588</v>
      </c>
      <c r="D47">
        <v>2668</v>
      </c>
      <c r="E47">
        <v>2770</v>
      </c>
      <c r="F47">
        <v>1461</v>
      </c>
      <c r="G47">
        <v>1302</v>
      </c>
      <c r="U47" s="1" t="s">
        <v>12</v>
      </c>
      <c r="V47">
        <v>0</v>
      </c>
      <c r="W47">
        <v>0</v>
      </c>
      <c r="Z47">
        <v>0.25900000000000001</v>
      </c>
      <c r="AA47">
        <v>0.27889999999999998</v>
      </c>
    </row>
    <row r="48" spans="1:36" x14ac:dyDescent="0.25">
      <c r="A48" s="1" t="s">
        <v>12</v>
      </c>
      <c r="B48">
        <v>2405</v>
      </c>
      <c r="C48">
        <v>2748</v>
      </c>
      <c r="D48">
        <v>2841</v>
      </c>
      <c r="E48">
        <v>2879</v>
      </c>
      <c r="F48">
        <v>1390</v>
      </c>
      <c r="G48">
        <v>1273</v>
      </c>
      <c r="U48" s="1" t="s">
        <v>13</v>
      </c>
      <c r="V48">
        <v>0</v>
      </c>
      <c r="W48">
        <v>0</v>
      </c>
      <c r="Z48">
        <v>0.25900000000000001</v>
      </c>
      <c r="AA48">
        <v>0.26300000000000001</v>
      </c>
    </row>
    <row r="49" spans="1:36" x14ac:dyDescent="0.25">
      <c r="A49" s="1" t="s">
        <v>13</v>
      </c>
      <c r="B49">
        <v>2543</v>
      </c>
      <c r="C49">
        <v>2626</v>
      </c>
      <c r="D49">
        <v>2803</v>
      </c>
      <c r="E49">
        <v>2736</v>
      </c>
      <c r="F49">
        <v>1402</v>
      </c>
      <c r="G49">
        <v>1285</v>
      </c>
    </row>
    <row r="50" spans="1:36" x14ac:dyDescent="0.25">
      <c r="U50" s="16" t="s">
        <v>17</v>
      </c>
      <c r="V50" s="16"/>
      <c r="W50" s="16"/>
    </row>
    <row r="51" spans="1:36" x14ac:dyDescent="0.25">
      <c r="V51" s="1" t="s">
        <v>0</v>
      </c>
      <c r="W51" s="1" t="s">
        <v>1</v>
      </c>
    </row>
    <row r="52" spans="1:36" x14ac:dyDescent="0.25">
      <c r="U52" s="1" t="s">
        <v>9</v>
      </c>
      <c r="V52" s="4">
        <v>0.30005300000000001</v>
      </c>
      <c r="W52" s="4">
        <v>0.28214</v>
      </c>
    </row>
    <row r="53" spans="1:36" x14ac:dyDescent="0.25">
      <c r="A53" s="12" t="s">
        <v>44</v>
      </c>
      <c r="B53" s="12"/>
      <c r="C53" s="12"/>
      <c r="D53" s="12"/>
      <c r="E53" s="12"/>
      <c r="F53" s="12"/>
      <c r="G53" s="12"/>
      <c r="U53" s="1" t="s">
        <v>10</v>
      </c>
      <c r="V53" s="4">
        <v>0.31176999999999999</v>
      </c>
      <c r="W53" s="4">
        <v>0.27681</v>
      </c>
    </row>
    <row r="54" spans="1:36" ht="105" x14ac:dyDescent="0.25">
      <c r="A54" s="5"/>
      <c r="B54" s="1" t="s">
        <v>5</v>
      </c>
      <c r="C54" s="6" t="s">
        <v>6</v>
      </c>
      <c r="D54" s="1" t="s">
        <v>7</v>
      </c>
      <c r="E54" s="6" t="s">
        <v>8</v>
      </c>
      <c r="F54" s="1" t="s">
        <v>1</v>
      </c>
      <c r="G54" s="1" t="s">
        <v>0</v>
      </c>
      <c r="U54" s="1" t="s">
        <v>11</v>
      </c>
      <c r="V54" s="4">
        <v>0.30499999999999999</v>
      </c>
      <c r="W54" s="4">
        <v>0.28090999999999999</v>
      </c>
    </row>
    <row r="55" spans="1:36" x14ac:dyDescent="0.25">
      <c r="A55" s="31">
        <v>0.15</v>
      </c>
      <c r="B55">
        <f t="shared" ref="B55:G55" si="0">AVERAGE(B6:B10)</f>
        <v>3178.2</v>
      </c>
      <c r="C55">
        <f t="shared" si="0"/>
        <v>3062.6</v>
      </c>
      <c r="D55">
        <f t="shared" si="0"/>
        <v>3391.2</v>
      </c>
      <c r="E55">
        <f t="shared" si="0"/>
        <v>3350.4</v>
      </c>
      <c r="F55">
        <f t="shared" si="0"/>
        <v>1366.8</v>
      </c>
      <c r="G55">
        <f t="shared" si="0"/>
        <v>1301.4000000000001</v>
      </c>
      <c r="U55" s="1" t="s">
        <v>12</v>
      </c>
      <c r="V55" s="4">
        <v>0.30619000000000002</v>
      </c>
      <c r="W55" s="4">
        <v>0.28309000000000001</v>
      </c>
    </row>
    <row r="56" spans="1:36" x14ac:dyDescent="0.25">
      <c r="A56" s="32">
        <v>0.35</v>
      </c>
      <c r="B56">
        <f t="shared" ref="B56:G56" si="1">AVERAGE(B19:B23)</f>
        <v>2938.8</v>
      </c>
      <c r="C56">
        <f t="shared" si="1"/>
        <v>2931.8</v>
      </c>
      <c r="D56">
        <f t="shared" si="1"/>
        <v>3210</v>
      </c>
      <c r="E56">
        <f t="shared" si="1"/>
        <v>3173.4</v>
      </c>
      <c r="F56">
        <f t="shared" si="1"/>
        <v>1447.6</v>
      </c>
      <c r="G56">
        <f t="shared" si="1"/>
        <v>1301.4000000000001</v>
      </c>
      <c r="U56" s="1" t="s">
        <v>13</v>
      </c>
      <c r="V56" s="4">
        <v>0.28906999999999999</v>
      </c>
      <c r="W56" s="4">
        <v>0.28277000000000002</v>
      </c>
    </row>
    <row r="57" spans="1:36" x14ac:dyDescent="0.25">
      <c r="A57" s="32">
        <v>0.55000000000000004</v>
      </c>
      <c r="B57">
        <f t="shared" ref="B57:G57" si="2">AVERAGE(B32:B36)</f>
        <v>2928.8</v>
      </c>
      <c r="C57">
        <f t="shared" si="2"/>
        <v>2899.6</v>
      </c>
      <c r="D57">
        <f t="shared" si="2"/>
        <v>3141.2</v>
      </c>
      <c r="E57">
        <f t="shared" si="2"/>
        <v>3143.2</v>
      </c>
      <c r="F57">
        <f t="shared" si="2"/>
        <v>1459.6</v>
      </c>
      <c r="G57">
        <f t="shared" si="2"/>
        <v>1301.4000000000001</v>
      </c>
    </row>
    <row r="58" spans="1:36" x14ac:dyDescent="0.25">
      <c r="A58" s="32">
        <v>0.7</v>
      </c>
      <c r="B58">
        <f t="shared" ref="B58:G58" si="3">AVERAGE(B45:B49)</f>
        <v>2528.8000000000002</v>
      </c>
      <c r="C58">
        <f t="shared" si="3"/>
        <v>2579</v>
      </c>
      <c r="D58">
        <f t="shared" si="3"/>
        <v>2807.8</v>
      </c>
      <c r="E58">
        <f t="shared" si="3"/>
        <v>2838.4</v>
      </c>
      <c r="F58">
        <f t="shared" si="3"/>
        <v>1445.4</v>
      </c>
      <c r="G58">
        <f t="shared" si="3"/>
        <v>1301.4000000000001</v>
      </c>
    </row>
    <row r="60" spans="1:36" x14ac:dyDescent="0.25">
      <c r="K60" s="12" t="s">
        <v>23</v>
      </c>
      <c r="L60" s="12"/>
      <c r="M60" s="12"/>
      <c r="N60" s="12"/>
      <c r="O60" s="12"/>
      <c r="P60" s="12"/>
      <c r="Q60" s="12"/>
      <c r="U60" s="11" t="s">
        <v>71</v>
      </c>
      <c r="V60" s="11"/>
      <c r="W60" s="11"/>
      <c r="X60" s="11"/>
      <c r="Y60" s="11"/>
      <c r="Z60" s="11"/>
      <c r="AA60" s="11"/>
      <c r="AD60" s="12" t="s">
        <v>23</v>
      </c>
      <c r="AE60" s="12"/>
      <c r="AF60" s="12"/>
      <c r="AG60" s="12"/>
      <c r="AH60" s="12"/>
      <c r="AI60" s="12"/>
      <c r="AJ60" s="12"/>
    </row>
    <row r="61" spans="1:36" ht="46.5" customHeight="1" x14ac:dyDescent="0.25">
      <c r="K61" s="5"/>
      <c r="L61" s="1" t="s">
        <v>5</v>
      </c>
      <c r="M61" s="6" t="s">
        <v>6</v>
      </c>
      <c r="N61" s="1" t="s">
        <v>7</v>
      </c>
      <c r="O61" s="6" t="s">
        <v>8</v>
      </c>
      <c r="P61" s="1" t="s">
        <v>1</v>
      </c>
      <c r="Q61" s="1" t="s">
        <v>0</v>
      </c>
      <c r="U61" s="10" t="s">
        <v>16</v>
      </c>
      <c r="V61" s="10"/>
      <c r="W61" s="10"/>
      <c r="X61" s="10"/>
      <c r="Y61" s="10"/>
      <c r="Z61" s="10"/>
      <c r="AA61" s="10"/>
      <c r="AD61" s="13" t="s">
        <v>2</v>
      </c>
      <c r="AE61" s="14"/>
      <c r="AF61" s="14"/>
      <c r="AG61" s="14"/>
      <c r="AH61" s="14"/>
      <c r="AI61" s="14"/>
      <c r="AJ61" s="15"/>
    </row>
    <row r="62" spans="1:36" ht="35.25" customHeight="1" x14ac:dyDescent="0.25">
      <c r="K62" s="31">
        <v>0.15</v>
      </c>
      <c r="L62">
        <f>AVERAGE(L5:L9)</f>
        <v>4.6486000000000001</v>
      </c>
      <c r="M62">
        <f>AVERAGE(M5:M9)</f>
        <v>4.6164000000000005</v>
      </c>
      <c r="N62">
        <f>AVERAGE(N5:N9)</f>
        <v>0.4556</v>
      </c>
      <c r="O62">
        <f t="shared" ref="O62:Q62" si="4">AVERAGE(O5:O9)</f>
        <v>0.3548</v>
      </c>
      <c r="P62">
        <f t="shared" si="4"/>
        <v>0.90900000000000003</v>
      </c>
      <c r="Q62">
        <f t="shared" si="4"/>
        <v>0.80980000000000008</v>
      </c>
      <c r="U62" s="5"/>
      <c r="V62" s="1" t="s">
        <v>5</v>
      </c>
      <c r="W62" s="6" t="s">
        <v>6</v>
      </c>
      <c r="X62" s="1" t="s">
        <v>7</v>
      </c>
      <c r="Y62" s="6" t="s">
        <v>8</v>
      </c>
      <c r="Z62" s="1" t="s">
        <v>1</v>
      </c>
      <c r="AA62" s="1" t="s">
        <v>0</v>
      </c>
      <c r="AD62" s="9"/>
      <c r="AE62" s="1" t="s">
        <v>5</v>
      </c>
      <c r="AF62" s="6" t="s">
        <v>6</v>
      </c>
      <c r="AG62" s="1" t="s">
        <v>7</v>
      </c>
      <c r="AH62" s="6" t="s">
        <v>8</v>
      </c>
      <c r="AI62" s="1" t="s">
        <v>1</v>
      </c>
      <c r="AJ62" s="1" t="s">
        <v>0</v>
      </c>
    </row>
    <row r="63" spans="1:36" x14ac:dyDescent="0.25">
      <c r="K63" s="32">
        <v>0.35</v>
      </c>
      <c r="L63">
        <f>AVERAGE(L17:L21)</f>
        <v>4.1193999999999997</v>
      </c>
      <c r="M63">
        <f>AVERAGE(M17:M21)</f>
        <v>4.0656000000000008</v>
      </c>
      <c r="N63">
        <f t="shared" ref="N63:Q63" si="5">AVERAGE(N17:N21)</f>
        <v>0.47499999999999998</v>
      </c>
      <c r="O63">
        <f t="shared" si="5"/>
        <v>0.32079999999999997</v>
      </c>
      <c r="P63">
        <f t="shared" si="5"/>
        <v>0.59920000000000007</v>
      </c>
      <c r="Q63">
        <f t="shared" si="5"/>
        <v>0.80980000000000008</v>
      </c>
      <c r="U63" s="1" t="s">
        <v>9</v>
      </c>
      <c r="Z63">
        <v>0.25900000000000001</v>
      </c>
      <c r="AA63">
        <v>0.27700000000000002</v>
      </c>
      <c r="AD63" s="33">
        <v>0.15</v>
      </c>
      <c r="AE63">
        <f>AVERAGE(AE5:AE9)</f>
        <v>18.8</v>
      </c>
      <c r="AF63">
        <f>AVERAGE(AF5:AF9)</f>
        <v>5.2</v>
      </c>
      <c r="AG63">
        <f>AVERAGE(AG5:AG9)</f>
        <v>182.6</v>
      </c>
      <c r="AH63">
        <f t="shared" ref="AH63:AJ63" si="6">AVERAGE(AH5:AH9)</f>
        <v>172.2</v>
      </c>
      <c r="AI63">
        <f t="shared" si="6"/>
        <v>18</v>
      </c>
      <c r="AJ63">
        <f t="shared" si="6"/>
        <v>9</v>
      </c>
    </row>
    <row r="64" spans="1:36" x14ac:dyDescent="0.25">
      <c r="K64" s="32">
        <v>0.55000000000000004</v>
      </c>
      <c r="L64">
        <f>AVERAGE(L28:L32)</f>
        <v>3.1993999999999998</v>
      </c>
      <c r="M64">
        <f>AVERAGE(M28:M32)</f>
        <v>3.3850000000000002</v>
      </c>
      <c r="N64">
        <f t="shared" ref="N64:Q64" si="7">AVERAGE(N28:N32)</f>
        <v>0.31480000000000002</v>
      </c>
      <c r="O64">
        <f t="shared" si="7"/>
        <v>0.2838</v>
      </c>
      <c r="P64">
        <f t="shared" si="7"/>
        <v>0.99339999999999995</v>
      </c>
      <c r="Q64">
        <f t="shared" si="7"/>
        <v>0.80980000000000008</v>
      </c>
      <c r="U64" s="1" t="s">
        <v>10</v>
      </c>
      <c r="Z64">
        <v>0.25900000000000001</v>
      </c>
      <c r="AA64">
        <v>0.28399999999999997</v>
      </c>
      <c r="AD64" s="33">
        <v>0.35</v>
      </c>
      <c r="AE64">
        <f>AVERAGE(AE17:AE21)</f>
        <v>53.2</v>
      </c>
      <c r="AF64">
        <f>AVERAGE(AF17:AF21)</f>
        <v>29.6</v>
      </c>
      <c r="AG64">
        <f t="shared" ref="AG64:AJ64" si="8">AVERAGE(AG17:AG21)</f>
        <v>154.80000000000001</v>
      </c>
      <c r="AH64">
        <f t="shared" si="8"/>
        <v>166.4</v>
      </c>
      <c r="AI64">
        <f t="shared" si="8"/>
        <v>16.2</v>
      </c>
      <c r="AJ64">
        <f t="shared" si="8"/>
        <v>9</v>
      </c>
    </row>
    <row r="65" spans="11:36" x14ac:dyDescent="0.25">
      <c r="K65" s="32">
        <v>0.7</v>
      </c>
      <c r="L65">
        <f t="shared" ref="L65:Q65" si="9">AVERAGE(L39:L43)</f>
        <v>2.3959999999999999</v>
      </c>
      <c r="M65">
        <f>AVERAGE(M39:M43)</f>
        <v>2.5343999999999998</v>
      </c>
      <c r="N65">
        <f t="shared" si="9"/>
        <v>0.47319999999999995</v>
      </c>
      <c r="O65">
        <f t="shared" si="9"/>
        <v>0.29560000000000003</v>
      </c>
      <c r="P65">
        <f t="shared" si="9"/>
        <v>0.74259999999999993</v>
      </c>
      <c r="Q65">
        <f t="shared" si="9"/>
        <v>0.80980000000000008</v>
      </c>
      <c r="U65" s="1" t="s">
        <v>11</v>
      </c>
      <c r="Z65">
        <v>0.26119999999999999</v>
      </c>
      <c r="AA65">
        <v>0.28199999999999997</v>
      </c>
      <c r="AD65" s="33">
        <v>0.55000000000000004</v>
      </c>
      <c r="AE65">
        <f>AVERAGE(AE28:AE32)</f>
        <v>28.2</v>
      </c>
      <c r="AF65">
        <f t="shared" ref="AF65:AJ65" si="10">AVERAGE(AF28:AF32)</f>
        <v>31.8</v>
      </c>
      <c r="AG65">
        <f t="shared" si="10"/>
        <v>133.19999999999999</v>
      </c>
      <c r="AH65">
        <f t="shared" si="10"/>
        <v>147</v>
      </c>
      <c r="AI65">
        <f t="shared" si="10"/>
        <v>20.8</v>
      </c>
      <c r="AJ65">
        <f t="shared" si="10"/>
        <v>9</v>
      </c>
    </row>
    <row r="66" spans="11:36" x14ac:dyDescent="0.25">
      <c r="U66" s="1" t="s">
        <v>12</v>
      </c>
      <c r="Z66">
        <v>0.255</v>
      </c>
      <c r="AA66">
        <v>0.27889999999999998</v>
      </c>
      <c r="AD66" s="33">
        <v>0.7</v>
      </c>
      <c r="AE66">
        <f>AVERAGE(AE40:AE44)</f>
        <v>42.6</v>
      </c>
      <c r="AF66">
        <f t="shared" ref="AF66:AJ66" si="11">AVERAGE(AF40:AF44)</f>
        <v>19.2</v>
      </c>
      <c r="AG66">
        <f t="shared" si="11"/>
        <v>72.8</v>
      </c>
      <c r="AH66">
        <f t="shared" si="11"/>
        <v>89.2</v>
      </c>
      <c r="AI66">
        <f t="shared" si="11"/>
        <v>21</v>
      </c>
      <c r="AJ66">
        <f t="shared" si="11"/>
        <v>9</v>
      </c>
    </row>
    <row r="67" spans="11:36" x14ac:dyDescent="0.25">
      <c r="U67" s="1" t="s">
        <v>13</v>
      </c>
      <c r="Z67">
        <v>0.26300000000000001</v>
      </c>
      <c r="AA67">
        <v>0.26300000000000001</v>
      </c>
    </row>
    <row r="69" spans="11:36" x14ac:dyDescent="0.25">
      <c r="U69" s="16" t="s">
        <v>17</v>
      </c>
      <c r="V69" s="16"/>
      <c r="W69" s="16"/>
    </row>
    <row r="70" spans="11:36" x14ac:dyDescent="0.25">
      <c r="V70" s="1" t="s">
        <v>0</v>
      </c>
      <c r="W70" s="1" t="s">
        <v>1</v>
      </c>
    </row>
    <row r="71" spans="11:36" x14ac:dyDescent="0.25">
      <c r="U71" s="1" t="s">
        <v>9</v>
      </c>
      <c r="V71" s="4">
        <v>0.30005300000000001</v>
      </c>
      <c r="W71" s="4">
        <v>0.28294000000000002</v>
      </c>
    </row>
    <row r="72" spans="11:36" x14ac:dyDescent="0.25">
      <c r="U72" s="1" t="s">
        <v>10</v>
      </c>
      <c r="V72" s="4">
        <v>0.31176999999999999</v>
      </c>
      <c r="W72" s="4">
        <v>0.28264</v>
      </c>
    </row>
    <row r="73" spans="11:36" x14ac:dyDescent="0.25">
      <c r="U73" s="1" t="s">
        <v>11</v>
      </c>
      <c r="V73" s="4">
        <v>0.30499999999999999</v>
      </c>
      <c r="W73" s="4">
        <v>0.28449999999999998</v>
      </c>
    </row>
    <row r="74" spans="11:36" x14ac:dyDescent="0.25">
      <c r="U74" s="1" t="s">
        <v>12</v>
      </c>
      <c r="V74" s="4">
        <v>0.30619000000000002</v>
      </c>
      <c r="W74" s="4">
        <v>0.28828999999999999</v>
      </c>
    </row>
    <row r="75" spans="11:36" x14ac:dyDescent="0.25">
      <c r="U75" s="1" t="s">
        <v>13</v>
      </c>
      <c r="V75" s="4">
        <v>0.28906999999999999</v>
      </c>
      <c r="W75" s="4">
        <v>0.28639999999999999</v>
      </c>
    </row>
    <row r="79" spans="11:36" x14ac:dyDescent="0.25">
      <c r="U79" s="12" t="s">
        <v>23</v>
      </c>
      <c r="V79" s="12"/>
      <c r="W79" s="12"/>
      <c r="X79" s="12"/>
      <c r="Y79" s="12"/>
      <c r="Z79" s="12"/>
      <c r="AA79" s="12"/>
    </row>
    <row r="80" spans="11:36" x14ac:dyDescent="0.25">
      <c r="U80" s="10" t="s">
        <v>16</v>
      </c>
      <c r="V80" s="10"/>
      <c r="W80" s="10"/>
      <c r="X80" s="10"/>
      <c r="Y80" s="10"/>
      <c r="Z80" s="10"/>
      <c r="AA80" s="10"/>
    </row>
    <row r="81" spans="21:23" x14ac:dyDescent="0.25">
      <c r="U81" s="9"/>
      <c r="V81" s="1" t="s">
        <v>1</v>
      </c>
      <c r="W81" s="1" t="s">
        <v>0</v>
      </c>
    </row>
    <row r="82" spans="21:23" x14ac:dyDescent="0.25">
      <c r="U82" s="33">
        <v>0.15</v>
      </c>
      <c r="V82">
        <f>AVERAGE(Z5:Z9)</f>
        <v>0.25680000000000003</v>
      </c>
      <c r="W82">
        <f>AVERAGE(AA5:AA9)</f>
        <v>0.27698</v>
      </c>
    </row>
    <row r="83" spans="21:23" x14ac:dyDescent="0.25">
      <c r="U83" s="33">
        <v>0.35</v>
      </c>
      <c r="V83">
        <f>AVERAGE(Z25:Z29)</f>
        <v>0.25919999999999999</v>
      </c>
      <c r="W83">
        <f>AVERAGE(AA25:AA29)</f>
        <v>0.27698</v>
      </c>
    </row>
    <row r="84" spans="21:23" x14ac:dyDescent="0.25">
      <c r="U84" s="33">
        <v>0.55000000000000004</v>
      </c>
      <c r="V84">
        <f>AVERAGE(Z44:Z48)</f>
        <v>0.25759999999999994</v>
      </c>
      <c r="W84">
        <f>AVERAGE(AA44:AA48)</f>
        <v>0.27698</v>
      </c>
    </row>
    <row r="85" spans="21:23" x14ac:dyDescent="0.25">
      <c r="U85" s="33">
        <v>0.7</v>
      </c>
      <c r="V85">
        <f>AVERAGE(Z63:Z67)</f>
        <v>0.25944</v>
      </c>
      <c r="W85">
        <f>AVERAGE(AA63:AA67)</f>
        <v>0.27698</v>
      </c>
    </row>
    <row r="91" spans="21:23" x14ac:dyDescent="0.25">
      <c r="U91" s="19" t="s">
        <v>17</v>
      </c>
      <c r="V91" s="19"/>
      <c r="W91" s="19"/>
    </row>
    <row r="92" spans="21:23" x14ac:dyDescent="0.25">
      <c r="V92" s="1" t="s">
        <v>0</v>
      </c>
      <c r="W92" s="1" t="s">
        <v>1</v>
      </c>
    </row>
    <row r="93" spans="21:23" x14ac:dyDescent="0.25">
      <c r="U93" s="33">
        <v>0.15</v>
      </c>
      <c r="V93" s="4">
        <f>AVERAGE(V13:V17)</f>
        <v>0.30241659999999998</v>
      </c>
      <c r="W93" s="4">
        <f>AVERAGE(W13:W17)</f>
        <v>0.27826459999999997</v>
      </c>
    </row>
    <row r="94" spans="21:23" x14ac:dyDescent="0.25">
      <c r="U94" s="33">
        <v>0.35</v>
      </c>
      <c r="V94" s="4">
        <f>AVERAGE(V33:V37)</f>
        <v>0.30241659999999998</v>
      </c>
      <c r="W94" s="4">
        <f>AVERAGE(W33:W37)</f>
        <v>0.28278579999999998</v>
      </c>
    </row>
    <row r="95" spans="21:23" x14ac:dyDescent="0.25">
      <c r="U95" s="33">
        <v>0.55000000000000004</v>
      </c>
      <c r="V95" s="4">
        <f>AVERAGE(V52:V56)</f>
        <v>0.30241659999999998</v>
      </c>
      <c r="W95" s="4">
        <f>AVERAGE(W52:W56)</f>
        <v>0.28114400000000001</v>
      </c>
    </row>
    <row r="96" spans="21:23" x14ac:dyDescent="0.25">
      <c r="U96" s="33">
        <v>0.7</v>
      </c>
      <c r="V96" s="4">
        <f>AVERAGE(V71:V75)</f>
        <v>0.30241659999999998</v>
      </c>
      <c r="W96" s="4">
        <f>AVERAGE(W71:W75)</f>
        <v>0.28495399999999999</v>
      </c>
    </row>
  </sheetData>
  <mergeCells count="47">
    <mergeCell ref="AD37:AJ37"/>
    <mergeCell ref="AD38:AJ38"/>
    <mergeCell ref="AD60:AJ60"/>
    <mergeCell ref="AD61:AJ61"/>
    <mergeCell ref="AD1:AJ1"/>
    <mergeCell ref="U79:AA79"/>
    <mergeCell ref="U80:AA80"/>
    <mergeCell ref="U91:W91"/>
    <mergeCell ref="U1:AA1"/>
    <mergeCell ref="AD2:AJ2"/>
    <mergeCell ref="AD3:AJ3"/>
    <mergeCell ref="AD14:AJ14"/>
    <mergeCell ref="AD15:AJ15"/>
    <mergeCell ref="AD25:AJ25"/>
    <mergeCell ref="AD26:AJ26"/>
    <mergeCell ref="U41:AA41"/>
    <mergeCell ref="U42:AA42"/>
    <mergeCell ref="U50:W50"/>
    <mergeCell ref="U60:AA60"/>
    <mergeCell ref="U61:AA61"/>
    <mergeCell ref="U69:W69"/>
    <mergeCell ref="K36:Q36"/>
    <mergeCell ref="K37:Q37"/>
    <mergeCell ref="K60:Q60"/>
    <mergeCell ref="K1:Q1"/>
    <mergeCell ref="U2:AA2"/>
    <mergeCell ref="U3:AA3"/>
    <mergeCell ref="U11:W11"/>
    <mergeCell ref="U22:AA22"/>
    <mergeCell ref="U23:AA23"/>
    <mergeCell ref="U31:W31"/>
    <mergeCell ref="A42:G42"/>
    <mergeCell ref="A43:G43"/>
    <mergeCell ref="A53:G53"/>
    <mergeCell ref="A1:G1"/>
    <mergeCell ref="K2:Q2"/>
    <mergeCell ref="K3:Q3"/>
    <mergeCell ref="K14:Q14"/>
    <mergeCell ref="K15:Q15"/>
    <mergeCell ref="K25:Q25"/>
    <mergeCell ref="K26:Q26"/>
    <mergeCell ref="A3:G3"/>
    <mergeCell ref="A4:G4"/>
    <mergeCell ref="A16:G16"/>
    <mergeCell ref="A17:G17"/>
    <mergeCell ref="A29:G29"/>
    <mergeCell ref="A30:G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C156-2C40-4C57-AC9A-31A0FEA37781}">
  <dimension ref="A1:AK96"/>
  <sheetViews>
    <sheetView topLeftCell="K62" workbookViewId="0">
      <selection activeCell="AL63" sqref="AL63"/>
    </sheetView>
  </sheetViews>
  <sheetFormatPr defaultRowHeight="15" x14ac:dyDescent="0.25"/>
  <sheetData>
    <row r="1" spans="1:37" x14ac:dyDescent="0.25">
      <c r="A1" s="18" t="s">
        <v>4</v>
      </c>
      <c r="B1" s="18"/>
      <c r="C1" s="18"/>
      <c r="D1" s="18"/>
      <c r="E1" s="18"/>
      <c r="F1" s="18"/>
      <c r="G1" s="18"/>
      <c r="J1" s="18" t="s">
        <v>15</v>
      </c>
      <c r="K1" s="18"/>
      <c r="L1" s="18"/>
      <c r="M1" s="18"/>
      <c r="N1" s="18"/>
      <c r="O1" s="18"/>
      <c r="P1" s="18"/>
      <c r="T1" s="18" t="s">
        <v>16</v>
      </c>
      <c r="U1" s="18"/>
      <c r="V1" s="18"/>
      <c r="W1" s="18"/>
      <c r="X1" s="18"/>
      <c r="Y1" s="18"/>
      <c r="Z1" s="18"/>
      <c r="AE1" s="18" t="s">
        <v>27</v>
      </c>
      <c r="AF1" s="18"/>
      <c r="AG1" s="18"/>
      <c r="AH1" s="18"/>
      <c r="AI1" s="18"/>
      <c r="AJ1" s="18"/>
      <c r="AK1" s="18"/>
    </row>
    <row r="2" spans="1:37" x14ac:dyDescent="0.25">
      <c r="C2" t="s">
        <v>3</v>
      </c>
      <c r="J2" s="11" t="s">
        <v>75</v>
      </c>
      <c r="K2" s="11"/>
      <c r="L2" s="11"/>
      <c r="M2" s="11"/>
      <c r="N2" s="11"/>
      <c r="O2" s="11"/>
      <c r="P2" s="11"/>
      <c r="T2" s="11" t="s">
        <v>75</v>
      </c>
      <c r="U2" s="11"/>
      <c r="V2" s="11"/>
      <c r="W2" s="11"/>
      <c r="X2" s="11"/>
      <c r="Y2" s="11"/>
      <c r="Z2" s="11"/>
      <c r="AE2" s="11" t="s">
        <v>75</v>
      </c>
      <c r="AF2" s="11"/>
      <c r="AG2" s="11"/>
      <c r="AH2" s="11"/>
      <c r="AI2" s="11"/>
      <c r="AJ2" s="11"/>
      <c r="AK2" s="11"/>
    </row>
    <row r="3" spans="1:37" x14ac:dyDescent="0.25">
      <c r="A3" s="11" t="s">
        <v>75</v>
      </c>
      <c r="B3" s="11"/>
      <c r="C3" s="11"/>
      <c r="D3" s="11"/>
      <c r="E3" s="11"/>
      <c r="F3" s="11"/>
      <c r="G3" s="11"/>
      <c r="J3" s="13" t="s">
        <v>15</v>
      </c>
      <c r="K3" s="14"/>
      <c r="L3" s="14"/>
      <c r="M3" s="14"/>
      <c r="N3" s="14"/>
      <c r="O3" s="14"/>
      <c r="P3" s="15"/>
      <c r="T3" s="10" t="s">
        <v>16</v>
      </c>
      <c r="U3" s="10"/>
      <c r="V3" s="10"/>
      <c r="W3" s="10"/>
      <c r="X3" s="10"/>
      <c r="Y3" s="10"/>
      <c r="Z3" s="10"/>
      <c r="AE3" s="13" t="s">
        <v>2</v>
      </c>
      <c r="AF3" s="14"/>
      <c r="AG3" s="14"/>
      <c r="AH3" s="14"/>
      <c r="AI3" s="14"/>
      <c r="AJ3" s="14"/>
      <c r="AK3" s="15"/>
    </row>
    <row r="4" spans="1:37" ht="29.25" customHeight="1" x14ac:dyDescent="0.25">
      <c r="A4" s="10" t="s">
        <v>4</v>
      </c>
      <c r="B4" s="10"/>
      <c r="C4" s="10"/>
      <c r="D4" s="10"/>
      <c r="E4" s="10"/>
      <c r="F4" s="10"/>
      <c r="G4" s="10"/>
      <c r="J4" s="7"/>
      <c r="K4" s="1" t="s">
        <v>5</v>
      </c>
      <c r="L4" s="6" t="s">
        <v>6</v>
      </c>
      <c r="M4" s="1" t="s">
        <v>7</v>
      </c>
      <c r="N4" s="6" t="s">
        <v>8</v>
      </c>
      <c r="O4" s="1" t="s">
        <v>1</v>
      </c>
      <c r="P4" s="1" t="s">
        <v>0</v>
      </c>
      <c r="T4" s="5"/>
      <c r="U4" s="1" t="s">
        <v>5</v>
      </c>
      <c r="V4" s="6" t="s">
        <v>6</v>
      </c>
      <c r="W4" s="1" t="s">
        <v>7</v>
      </c>
      <c r="X4" s="6" t="s">
        <v>8</v>
      </c>
      <c r="Y4" s="1" t="s">
        <v>1</v>
      </c>
      <c r="Z4" s="1" t="s">
        <v>0</v>
      </c>
      <c r="AE4" s="7"/>
      <c r="AF4" s="1" t="s">
        <v>5</v>
      </c>
      <c r="AG4" s="6" t="s">
        <v>6</v>
      </c>
      <c r="AH4" s="1" t="s">
        <v>7</v>
      </c>
      <c r="AI4" s="6" t="s">
        <v>8</v>
      </c>
      <c r="AJ4" s="1" t="s">
        <v>1</v>
      </c>
      <c r="AK4" s="1" t="s">
        <v>0</v>
      </c>
    </row>
    <row r="5" spans="1:37" ht="32.25" customHeight="1" x14ac:dyDescent="0.25">
      <c r="A5" s="5"/>
      <c r="B5" s="1" t="s">
        <v>5</v>
      </c>
      <c r="C5" s="6" t="s">
        <v>6</v>
      </c>
      <c r="D5" s="1" t="s">
        <v>7</v>
      </c>
      <c r="E5" s="6" t="s">
        <v>8</v>
      </c>
      <c r="F5" s="1" t="s">
        <v>1</v>
      </c>
      <c r="G5" s="1" t="s">
        <v>0</v>
      </c>
      <c r="J5" s="1" t="s">
        <v>9</v>
      </c>
      <c r="K5">
        <v>89.13</v>
      </c>
      <c r="L5">
        <v>73.685000000000002</v>
      </c>
      <c r="M5">
        <v>2.9089999999999998</v>
      </c>
      <c r="N5">
        <v>1.9179999999999999</v>
      </c>
      <c r="O5">
        <v>1.7090000000000001</v>
      </c>
      <c r="P5">
        <v>0.77500000000000002</v>
      </c>
      <c r="T5" s="1" t="s">
        <v>9</v>
      </c>
      <c r="U5">
        <v>0</v>
      </c>
      <c r="V5">
        <v>0</v>
      </c>
      <c r="W5">
        <v>0</v>
      </c>
      <c r="X5">
        <v>0</v>
      </c>
      <c r="Y5">
        <v>0.26400000000000001</v>
      </c>
      <c r="Z5">
        <v>0.26700000000000002</v>
      </c>
      <c r="AE5" s="1" t="s">
        <v>9</v>
      </c>
      <c r="AF5">
        <v>1</v>
      </c>
      <c r="AG5">
        <v>1</v>
      </c>
      <c r="AH5">
        <v>166</v>
      </c>
      <c r="AI5">
        <v>232</v>
      </c>
      <c r="AJ5">
        <v>1</v>
      </c>
      <c r="AK5">
        <v>1</v>
      </c>
    </row>
    <row r="6" spans="1:37" x14ac:dyDescent="0.25">
      <c r="A6" s="1" t="s">
        <v>9</v>
      </c>
      <c r="B6">
        <v>1482</v>
      </c>
      <c r="C6">
        <v>1730</v>
      </c>
      <c r="D6">
        <v>2988</v>
      </c>
      <c r="E6">
        <v>4138</v>
      </c>
      <c r="F6">
        <v>386</v>
      </c>
      <c r="G6">
        <v>350</v>
      </c>
      <c r="J6" s="1" t="s">
        <v>10</v>
      </c>
      <c r="K6">
        <v>86.834000000000003</v>
      </c>
      <c r="L6">
        <v>97.706000000000003</v>
      </c>
      <c r="M6">
        <v>3.6280000000000001</v>
      </c>
      <c r="N6">
        <v>2.2709999999999999</v>
      </c>
      <c r="O6">
        <v>1.9259999999999999</v>
      </c>
      <c r="P6">
        <v>0.998</v>
      </c>
      <c r="T6" s="1" t="s">
        <v>10</v>
      </c>
      <c r="U6">
        <v>0</v>
      </c>
      <c r="V6">
        <v>0</v>
      </c>
      <c r="W6">
        <v>0</v>
      </c>
      <c r="X6">
        <v>0</v>
      </c>
      <c r="Y6">
        <v>0.2586</v>
      </c>
      <c r="Z6">
        <v>0.248</v>
      </c>
      <c r="AE6" s="1" t="s">
        <v>10</v>
      </c>
      <c r="AF6">
        <v>1</v>
      </c>
      <c r="AG6">
        <v>1</v>
      </c>
      <c r="AH6">
        <v>107</v>
      </c>
      <c r="AI6">
        <v>120</v>
      </c>
      <c r="AJ6">
        <v>1</v>
      </c>
      <c r="AK6">
        <v>1</v>
      </c>
    </row>
    <row r="7" spans="1:37" x14ac:dyDescent="0.25">
      <c r="A7" s="1" t="s">
        <v>10</v>
      </c>
      <c r="B7">
        <v>1101</v>
      </c>
      <c r="C7">
        <v>1369</v>
      </c>
      <c r="D7">
        <v>2728</v>
      </c>
      <c r="E7">
        <v>2758</v>
      </c>
      <c r="F7">
        <v>411</v>
      </c>
      <c r="G7">
        <v>341</v>
      </c>
      <c r="J7" s="1" t="s">
        <v>11</v>
      </c>
      <c r="K7">
        <v>92.950999999999993</v>
      </c>
      <c r="L7">
        <v>78.968999999999994</v>
      </c>
      <c r="M7">
        <v>3.0379999999999998</v>
      </c>
      <c r="N7">
        <v>2.0049999999999999</v>
      </c>
      <c r="O7">
        <v>2.2509999999999999</v>
      </c>
      <c r="P7">
        <v>1.252</v>
      </c>
      <c r="T7" s="1" t="s">
        <v>11</v>
      </c>
      <c r="U7">
        <v>0</v>
      </c>
      <c r="V7">
        <v>0</v>
      </c>
      <c r="W7">
        <v>0</v>
      </c>
      <c r="X7">
        <v>0</v>
      </c>
      <c r="Y7">
        <v>0.26500000000000001</v>
      </c>
      <c r="Z7">
        <v>0.247</v>
      </c>
      <c r="AE7" s="1" t="s">
        <v>11</v>
      </c>
      <c r="AF7">
        <v>1</v>
      </c>
      <c r="AG7">
        <v>1</v>
      </c>
      <c r="AH7">
        <v>146</v>
      </c>
      <c r="AI7">
        <v>135</v>
      </c>
      <c r="AJ7">
        <v>1</v>
      </c>
      <c r="AK7">
        <v>1</v>
      </c>
    </row>
    <row r="8" spans="1:37" x14ac:dyDescent="0.25">
      <c r="A8" s="1" t="s">
        <v>11</v>
      </c>
      <c r="B8">
        <v>1885</v>
      </c>
      <c r="C8">
        <v>1373</v>
      </c>
      <c r="D8">
        <v>3101</v>
      </c>
      <c r="E8">
        <v>3633</v>
      </c>
      <c r="F8">
        <v>418</v>
      </c>
      <c r="G8">
        <v>342</v>
      </c>
      <c r="J8" s="1" t="s">
        <v>12</v>
      </c>
      <c r="K8">
        <v>93.647000000000006</v>
      </c>
      <c r="L8">
        <v>92.076999999999998</v>
      </c>
      <c r="M8">
        <v>3.2349999999999999</v>
      </c>
      <c r="N8">
        <v>2.238</v>
      </c>
      <c r="O8">
        <v>2.1720000000000002</v>
      </c>
      <c r="P8">
        <v>1.1120000000000001</v>
      </c>
      <c r="T8" s="1" t="s">
        <v>12</v>
      </c>
      <c r="U8">
        <v>0</v>
      </c>
      <c r="V8">
        <v>0</v>
      </c>
      <c r="W8">
        <v>0</v>
      </c>
      <c r="X8">
        <v>0</v>
      </c>
      <c r="Y8">
        <v>0.25900000000000001</v>
      </c>
      <c r="Z8">
        <v>0.247</v>
      </c>
      <c r="AE8" s="1" t="s">
        <v>12</v>
      </c>
      <c r="AF8">
        <v>1</v>
      </c>
      <c r="AG8">
        <v>1</v>
      </c>
      <c r="AH8">
        <v>75</v>
      </c>
      <c r="AI8">
        <v>138</v>
      </c>
      <c r="AJ8">
        <v>1</v>
      </c>
      <c r="AK8">
        <v>1</v>
      </c>
    </row>
    <row r="9" spans="1:37" x14ac:dyDescent="0.25">
      <c r="A9" s="1" t="s">
        <v>12</v>
      </c>
      <c r="B9">
        <v>1075</v>
      </c>
      <c r="C9">
        <v>1203</v>
      </c>
      <c r="D9">
        <v>2271</v>
      </c>
      <c r="E9">
        <v>3242</v>
      </c>
      <c r="F9">
        <v>392</v>
      </c>
      <c r="G9">
        <v>342</v>
      </c>
      <c r="J9" s="1" t="s">
        <v>13</v>
      </c>
      <c r="K9">
        <v>96.210999999999999</v>
      </c>
      <c r="L9">
        <v>77.879000000000005</v>
      </c>
      <c r="M9">
        <v>2.9929999999999999</v>
      </c>
      <c r="N9">
        <v>2.42</v>
      </c>
      <c r="O9">
        <v>2.3279999999999998</v>
      </c>
      <c r="P9">
        <v>1.0840000000000001</v>
      </c>
      <c r="T9" s="1" t="s">
        <v>13</v>
      </c>
      <c r="U9">
        <v>0</v>
      </c>
      <c r="V9">
        <v>0</v>
      </c>
      <c r="W9">
        <v>0</v>
      </c>
      <c r="X9">
        <v>0</v>
      </c>
      <c r="Y9">
        <v>0.26100000000000001</v>
      </c>
      <c r="Z9">
        <v>0.247</v>
      </c>
      <c r="AE9" s="1" t="s">
        <v>13</v>
      </c>
      <c r="AF9">
        <v>1</v>
      </c>
      <c r="AG9">
        <v>1</v>
      </c>
      <c r="AH9">
        <v>156</v>
      </c>
      <c r="AI9">
        <v>72</v>
      </c>
      <c r="AJ9">
        <v>1</v>
      </c>
      <c r="AK9">
        <v>1</v>
      </c>
    </row>
    <row r="10" spans="1:37" x14ac:dyDescent="0.25">
      <c r="A10" s="1" t="s">
        <v>13</v>
      </c>
      <c r="B10">
        <v>1745</v>
      </c>
      <c r="C10">
        <v>1397</v>
      </c>
      <c r="D10">
        <v>3626</v>
      </c>
      <c r="E10">
        <v>2739</v>
      </c>
      <c r="F10">
        <v>389</v>
      </c>
      <c r="G10">
        <v>341</v>
      </c>
    </row>
    <row r="11" spans="1:37" x14ac:dyDescent="0.25">
      <c r="T11" s="16" t="s">
        <v>17</v>
      </c>
      <c r="U11" s="16"/>
      <c r="V11" s="16"/>
    </row>
    <row r="12" spans="1:37" x14ac:dyDescent="0.25">
      <c r="U12" s="1" t="s">
        <v>0</v>
      </c>
      <c r="V12" s="1" t="s">
        <v>1</v>
      </c>
    </row>
    <row r="13" spans="1:37" x14ac:dyDescent="0.25">
      <c r="T13" s="1" t="s">
        <v>9</v>
      </c>
      <c r="U13" s="4">
        <v>0.29070000000000001</v>
      </c>
      <c r="V13" s="4">
        <v>0.28766999999999998</v>
      </c>
    </row>
    <row r="14" spans="1:37" x14ac:dyDescent="0.25">
      <c r="J14" s="11" t="s">
        <v>76</v>
      </c>
      <c r="K14" s="11"/>
      <c r="L14" s="11"/>
      <c r="M14" s="11"/>
      <c r="N14" s="11"/>
      <c r="O14" s="11"/>
      <c r="P14" s="11"/>
      <c r="T14" s="1" t="s">
        <v>10</v>
      </c>
      <c r="U14" s="4">
        <v>0.27074300000000001</v>
      </c>
      <c r="V14" s="4">
        <v>0.28753000000000001</v>
      </c>
      <c r="AE14" s="11" t="s">
        <v>76</v>
      </c>
      <c r="AF14" s="11"/>
      <c r="AG14" s="11"/>
      <c r="AH14" s="11"/>
      <c r="AI14" s="11"/>
      <c r="AJ14" s="11"/>
      <c r="AK14" s="11"/>
    </row>
    <row r="15" spans="1:37" x14ac:dyDescent="0.25">
      <c r="C15" t="s">
        <v>3</v>
      </c>
      <c r="J15" s="13" t="s">
        <v>15</v>
      </c>
      <c r="K15" s="14"/>
      <c r="L15" s="14"/>
      <c r="M15" s="14"/>
      <c r="N15" s="14"/>
      <c r="O15" s="14"/>
      <c r="P15" s="15"/>
      <c r="T15" s="1" t="s">
        <v>11</v>
      </c>
      <c r="U15" s="4">
        <v>0.26928999999999997</v>
      </c>
      <c r="V15" s="4">
        <v>0.28239999999999998</v>
      </c>
      <c r="AE15" s="13" t="s">
        <v>2</v>
      </c>
      <c r="AF15" s="14"/>
      <c r="AG15" s="14"/>
      <c r="AH15" s="14"/>
      <c r="AI15" s="14"/>
      <c r="AJ15" s="14"/>
      <c r="AK15" s="15"/>
    </row>
    <row r="16" spans="1:37" ht="41.25" customHeight="1" x14ac:dyDescent="0.25">
      <c r="A16" s="11" t="s">
        <v>76</v>
      </c>
      <c r="B16" s="11"/>
      <c r="C16" s="11"/>
      <c r="D16" s="11"/>
      <c r="E16" s="11"/>
      <c r="F16" s="11"/>
      <c r="G16" s="11"/>
      <c r="J16" s="7"/>
      <c r="K16" s="1" t="s">
        <v>5</v>
      </c>
      <c r="L16" s="6" t="s">
        <v>6</v>
      </c>
      <c r="M16" s="1" t="s">
        <v>7</v>
      </c>
      <c r="N16" s="6" t="s">
        <v>8</v>
      </c>
      <c r="O16" s="1" t="s">
        <v>1</v>
      </c>
      <c r="P16" s="1" t="s">
        <v>0</v>
      </c>
      <c r="T16" s="1" t="s">
        <v>12</v>
      </c>
      <c r="U16" s="4">
        <v>0.26923000000000002</v>
      </c>
      <c r="V16" s="4">
        <v>0.28449999999999998</v>
      </c>
      <c r="AE16" s="7"/>
      <c r="AF16" s="1" t="s">
        <v>5</v>
      </c>
      <c r="AG16" s="6" t="s">
        <v>6</v>
      </c>
      <c r="AH16" s="1" t="s">
        <v>7</v>
      </c>
      <c r="AI16" s="6" t="s">
        <v>8</v>
      </c>
      <c r="AJ16" s="1" t="s">
        <v>1</v>
      </c>
      <c r="AK16" s="1" t="s">
        <v>0</v>
      </c>
    </row>
    <row r="17" spans="1:37" x14ac:dyDescent="0.25">
      <c r="A17" s="14" t="s">
        <v>4</v>
      </c>
      <c r="B17" s="14"/>
      <c r="C17" s="14"/>
      <c r="D17" s="14"/>
      <c r="E17" s="14"/>
      <c r="F17" s="14"/>
      <c r="G17" s="14"/>
      <c r="J17" s="1" t="s">
        <v>9</v>
      </c>
      <c r="K17">
        <v>143.33199999999999</v>
      </c>
      <c r="L17">
        <v>151.19999999999999</v>
      </c>
      <c r="M17">
        <v>3.2549999999999999</v>
      </c>
      <c r="N17">
        <v>1.7649999999999999</v>
      </c>
      <c r="O17">
        <v>2.2440000000000002</v>
      </c>
      <c r="P17">
        <v>0.77500000000000002</v>
      </c>
      <c r="T17" s="1" t="s">
        <v>13</v>
      </c>
      <c r="U17" s="4">
        <v>0.26934999999999998</v>
      </c>
      <c r="V17" s="4">
        <v>0.30046</v>
      </c>
      <c r="AE17" s="1" t="s">
        <v>9</v>
      </c>
      <c r="AF17">
        <v>1</v>
      </c>
      <c r="AG17">
        <v>1</v>
      </c>
      <c r="AH17">
        <v>176</v>
      </c>
      <c r="AI17">
        <v>112</v>
      </c>
      <c r="AJ17">
        <v>1</v>
      </c>
      <c r="AK17">
        <v>1</v>
      </c>
    </row>
    <row r="18" spans="1:37" ht="51.75" customHeight="1" x14ac:dyDescent="0.25">
      <c r="A18" s="5"/>
      <c r="B18" s="1" t="s">
        <v>5</v>
      </c>
      <c r="C18" s="6" t="s">
        <v>6</v>
      </c>
      <c r="D18" s="1" t="s">
        <v>7</v>
      </c>
      <c r="E18" s="6" t="s">
        <v>8</v>
      </c>
      <c r="F18" s="1" t="s">
        <v>1</v>
      </c>
      <c r="G18" s="1" t="s">
        <v>0</v>
      </c>
      <c r="J18" s="1" t="s">
        <v>10</v>
      </c>
      <c r="K18">
        <v>99.855000000000004</v>
      </c>
      <c r="L18">
        <v>157.47800000000001</v>
      </c>
      <c r="M18">
        <v>3.008</v>
      </c>
      <c r="N18">
        <v>1.498</v>
      </c>
      <c r="O18">
        <v>1.9690000000000001</v>
      </c>
      <c r="P18">
        <v>0.998</v>
      </c>
      <c r="AE18" s="1" t="s">
        <v>10</v>
      </c>
      <c r="AF18">
        <v>1</v>
      </c>
      <c r="AG18">
        <v>1</v>
      </c>
      <c r="AH18">
        <v>155</v>
      </c>
      <c r="AI18">
        <v>193</v>
      </c>
      <c r="AJ18">
        <v>1</v>
      </c>
      <c r="AK18">
        <v>1</v>
      </c>
    </row>
    <row r="19" spans="1:37" x14ac:dyDescent="0.25">
      <c r="A19" s="1" t="s">
        <v>9</v>
      </c>
      <c r="B19">
        <v>1319</v>
      </c>
      <c r="C19">
        <v>1848</v>
      </c>
      <c r="D19">
        <v>3531</v>
      </c>
      <c r="E19">
        <v>3012</v>
      </c>
      <c r="F19">
        <v>418</v>
      </c>
      <c r="G19">
        <v>350</v>
      </c>
      <c r="J19" s="1" t="s">
        <v>11</v>
      </c>
      <c r="K19">
        <v>148.94399999999999</v>
      </c>
      <c r="L19">
        <v>144.88</v>
      </c>
      <c r="M19">
        <v>2.516</v>
      </c>
      <c r="N19">
        <v>1.494</v>
      </c>
      <c r="O19">
        <v>2.1669999999999998</v>
      </c>
      <c r="P19">
        <v>1.252</v>
      </c>
      <c r="AE19" s="1" t="s">
        <v>11</v>
      </c>
      <c r="AF19">
        <v>1</v>
      </c>
      <c r="AG19">
        <v>1</v>
      </c>
      <c r="AH19">
        <v>185</v>
      </c>
      <c r="AI19">
        <v>162</v>
      </c>
      <c r="AJ19">
        <v>1</v>
      </c>
      <c r="AK19">
        <v>1</v>
      </c>
    </row>
    <row r="20" spans="1:37" x14ac:dyDescent="0.25">
      <c r="A20" s="1" t="s">
        <v>10</v>
      </c>
      <c r="B20">
        <v>1763</v>
      </c>
      <c r="C20">
        <v>1167</v>
      </c>
      <c r="D20">
        <v>3307</v>
      </c>
      <c r="E20">
        <v>4188</v>
      </c>
      <c r="F20">
        <v>402</v>
      </c>
      <c r="G20">
        <v>341</v>
      </c>
      <c r="J20" s="1" t="s">
        <v>12</v>
      </c>
      <c r="K20">
        <v>144.47999999999999</v>
      </c>
      <c r="L20">
        <v>137.624</v>
      </c>
      <c r="M20">
        <v>3.6739999999999999</v>
      </c>
      <c r="N20">
        <v>1.647</v>
      </c>
      <c r="O20">
        <v>2.569</v>
      </c>
      <c r="P20">
        <v>1.1120000000000001</v>
      </c>
      <c r="AE20" s="1" t="s">
        <v>12</v>
      </c>
      <c r="AF20">
        <v>1</v>
      </c>
      <c r="AG20">
        <v>1</v>
      </c>
      <c r="AH20">
        <v>153</v>
      </c>
      <c r="AI20">
        <v>102</v>
      </c>
      <c r="AJ20">
        <v>1</v>
      </c>
      <c r="AK20">
        <v>1</v>
      </c>
    </row>
    <row r="21" spans="1:37" x14ac:dyDescent="0.25">
      <c r="A21" s="1" t="s">
        <v>11</v>
      </c>
      <c r="B21">
        <v>1196</v>
      </c>
      <c r="C21">
        <v>1046</v>
      </c>
      <c r="D21">
        <v>3425</v>
      </c>
      <c r="E21">
        <v>2973</v>
      </c>
      <c r="F21">
        <v>393</v>
      </c>
      <c r="G21">
        <v>342</v>
      </c>
      <c r="J21" s="1" t="s">
        <v>13</v>
      </c>
      <c r="K21">
        <v>124.994</v>
      </c>
      <c r="L21">
        <v>160.55699999999999</v>
      </c>
      <c r="M21">
        <v>3.1949999999999998</v>
      </c>
      <c r="N21">
        <v>2.427</v>
      </c>
      <c r="O21">
        <v>2.7959999999999998</v>
      </c>
      <c r="P21">
        <v>1.0840000000000001</v>
      </c>
      <c r="AE21" s="1" t="s">
        <v>13</v>
      </c>
      <c r="AF21">
        <v>1</v>
      </c>
      <c r="AG21">
        <v>1</v>
      </c>
      <c r="AH21">
        <v>276</v>
      </c>
      <c r="AI21">
        <v>62</v>
      </c>
      <c r="AJ21">
        <v>1</v>
      </c>
      <c r="AK21">
        <v>1</v>
      </c>
    </row>
    <row r="22" spans="1:37" x14ac:dyDescent="0.25">
      <c r="A22" s="1" t="s">
        <v>12</v>
      </c>
      <c r="B22">
        <v>1462</v>
      </c>
      <c r="C22">
        <v>1276</v>
      </c>
      <c r="D22">
        <v>3161</v>
      </c>
      <c r="E22">
        <v>2379</v>
      </c>
      <c r="F22">
        <v>381</v>
      </c>
      <c r="G22">
        <v>342</v>
      </c>
      <c r="T22" s="11" t="s">
        <v>76</v>
      </c>
      <c r="U22" s="11"/>
      <c r="V22" s="11"/>
      <c r="W22" s="11"/>
      <c r="X22" s="11"/>
      <c r="Y22" s="11"/>
      <c r="Z22" s="11"/>
    </row>
    <row r="23" spans="1:37" x14ac:dyDescent="0.25">
      <c r="A23" s="1" t="s">
        <v>13</v>
      </c>
      <c r="B23">
        <v>1667</v>
      </c>
      <c r="C23">
        <v>1922</v>
      </c>
      <c r="D23">
        <v>4629</v>
      </c>
      <c r="E23">
        <v>2605</v>
      </c>
      <c r="F23">
        <v>352</v>
      </c>
      <c r="G23">
        <v>341</v>
      </c>
      <c r="T23" s="10" t="s">
        <v>16</v>
      </c>
      <c r="U23" s="10"/>
      <c r="V23" s="10"/>
      <c r="W23" s="10"/>
      <c r="X23" s="10"/>
      <c r="Y23" s="10"/>
      <c r="Z23" s="10"/>
    </row>
    <row r="24" spans="1:37" ht="105" x14ac:dyDescent="0.25">
      <c r="T24" s="5"/>
      <c r="U24" s="1" t="s">
        <v>5</v>
      </c>
      <c r="V24" s="6" t="s">
        <v>6</v>
      </c>
      <c r="W24" s="1" t="s">
        <v>7</v>
      </c>
      <c r="X24" s="6" t="s">
        <v>8</v>
      </c>
      <c r="Y24" s="1" t="s">
        <v>1</v>
      </c>
      <c r="Z24" s="1" t="s">
        <v>0</v>
      </c>
    </row>
    <row r="25" spans="1:37" x14ac:dyDescent="0.25">
      <c r="J25" s="11" t="s">
        <v>77</v>
      </c>
      <c r="K25" s="11"/>
      <c r="L25" s="11"/>
      <c r="M25" s="11"/>
      <c r="N25" s="11"/>
      <c r="O25" s="11"/>
      <c r="P25" s="11"/>
      <c r="T25" s="1" t="s">
        <v>9</v>
      </c>
      <c r="U25">
        <v>0</v>
      </c>
      <c r="V25">
        <v>0</v>
      </c>
      <c r="W25">
        <v>0</v>
      </c>
      <c r="X25">
        <v>0</v>
      </c>
      <c r="Y25">
        <v>0.25700000000000001</v>
      </c>
      <c r="Z25">
        <v>0.26700000000000002</v>
      </c>
      <c r="AE25" s="11" t="s">
        <v>77</v>
      </c>
      <c r="AF25" s="11"/>
      <c r="AG25" s="11"/>
      <c r="AH25" s="11"/>
      <c r="AI25" s="11"/>
      <c r="AJ25" s="11"/>
      <c r="AK25" s="11"/>
    </row>
    <row r="26" spans="1:37" x14ac:dyDescent="0.25">
      <c r="J26" s="13" t="s">
        <v>15</v>
      </c>
      <c r="K26" s="14"/>
      <c r="L26" s="14"/>
      <c r="M26" s="14"/>
      <c r="N26" s="14"/>
      <c r="O26" s="14"/>
      <c r="P26" s="15"/>
      <c r="T26" s="1" t="s">
        <v>10</v>
      </c>
      <c r="U26">
        <v>0</v>
      </c>
      <c r="V26">
        <v>0</v>
      </c>
      <c r="W26">
        <v>0</v>
      </c>
      <c r="X26">
        <v>0</v>
      </c>
      <c r="Y26">
        <v>0.26</v>
      </c>
      <c r="Z26">
        <v>0.248</v>
      </c>
      <c r="AE26" s="13" t="s">
        <v>2</v>
      </c>
      <c r="AF26" s="14"/>
      <c r="AG26" s="14"/>
      <c r="AH26" s="14"/>
      <c r="AI26" s="14"/>
      <c r="AJ26" s="14"/>
      <c r="AK26" s="15"/>
    </row>
    <row r="27" spans="1:37" ht="44.25" customHeight="1" x14ac:dyDescent="0.25">
      <c r="J27" s="7"/>
      <c r="K27" s="1" t="s">
        <v>5</v>
      </c>
      <c r="L27" s="6" t="s">
        <v>6</v>
      </c>
      <c r="M27" s="1" t="s">
        <v>7</v>
      </c>
      <c r="N27" s="6" t="s">
        <v>8</v>
      </c>
      <c r="O27" s="1" t="s">
        <v>1</v>
      </c>
      <c r="P27" s="1" t="s">
        <v>0</v>
      </c>
      <c r="T27" s="1" t="s">
        <v>11</v>
      </c>
      <c r="U27">
        <v>0</v>
      </c>
      <c r="V27">
        <v>0</v>
      </c>
      <c r="W27">
        <v>0</v>
      </c>
      <c r="X27">
        <v>0</v>
      </c>
      <c r="Y27">
        <v>0.26</v>
      </c>
      <c r="Z27">
        <v>0.247</v>
      </c>
      <c r="AE27" s="7"/>
      <c r="AF27" s="1" t="s">
        <v>5</v>
      </c>
      <c r="AG27" s="6" t="s">
        <v>6</v>
      </c>
      <c r="AH27" s="1" t="s">
        <v>7</v>
      </c>
      <c r="AI27" s="6" t="s">
        <v>8</v>
      </c>
      <c r="AJ27" s="1" t="s">
        <v>1</v>
      </c>
      <c r="AK27" s="1" t="s">
        <v>0</v>
      </c>
    </row>
    <row r="28" spans="1:37" x14ac:dyDescent="0.25">
      <c r="C28" t="s">
        <v>3</v>
      </c>
      <c r="J28" s="1" t="s">
        <v>9</v>
      </c>
      <c r="K28">
        <v>82.251000000000005</v>
      </c>
      <c r="L28">
        <v>76.346999999999994</v>
      </c>
      <c r="M28">
        <v>5.5640000000000001</v>
      </c>
      <c r="N28">
        <v>1.954</v>
      </c>
      <c r="O28">
        <v>1.9410000000000001</v>
      </c>
      <c r="P28">
        <v>0.77500000000000002</v>
      </c>
      <c r="T28" s="1" t="s">
        <v>12</v>
      </c>
      <c r="U28">
        <v>0</v>
      </c>
      <c r="V28">
        <v>0</v>
      </c>
      <c r="W28">
        <v>0</v>
      </c>
      <c r="X28">
        <v>0</v>
      </c>
      <c r="Y28">
        <v>0.25800000000000001</v>
      </c>
      <c r="Z28">
        <v>0.247</v>
      </c>
      <c r="AE28" s="1" t="s">
        <v>9</v>
      </c>
      <c r="AF28">
        <v>150</v>
      </c>
      <c r="AG28">
        <v>1</v>
      </c>
      <c r="AH28">
        <v>88</v>
      </c>
      <c r="AI28">
        <v>93</v>
      </c>
      <c r="AJ28">
        <v>1</v>
      </c>
      <c r="AK28">
        <v>1</v>
      </c>
    </row>
    <row r="29" spans="1:37" x14ac:dyDescent="0.25">
      <c r="A29" s="11" t="s">
        <v>77</v>
      </c>
      <c r="B29" s="11"/>
      <c r="C29" s="11"/>
      <c r="D29" s="11"/>
      <c r="E29" s="11"/>
      <c r="F29" s="11"/>
      <c r="G29" s="11"/>
      <c r="J29" s="1" t="s">
        <v>10</v>
      </c>
      <c r="K29">
        <v>70.332999999999998</v>
      </c>
      <c r="L29">
        <v>67.631</v>
      </c>
      <c r="M29">
        <v>9.0960000000000001</v>
      </c>
      <c r="N29">
        <v>1.536</v>
      </c>
      <c r="O29">
        <v>2.2949999999999999</v>
      </c>
      <c r="P29">
        <v>0.998</v>
      </c>
      <c r="T29" s="1" t="s">
        <v>13</v>
      </c>
      <c r="U29">
        <v>0</v>
      </c>
      <c r="V29">
        <v>0</v>
      </c>
      <c r="W29">
        <v>0</v>
      </c>
      <c r="X29">
        <v>0</v>
      </c>
      <c r="Y29">
        <v>0.255</v>
      </c>
      <c r="Z29">
        <v>0.247</v>
      </c>
      <c r="AE29" s="1" t="s">
        <v>10</v>
      </c>
      <c r="AF29">
        <v>74</v>
      </c>
      <c r="AG29">
        <v>1</v>
      </c>
      <c r="AH29">
        <v>114</v>
      </c>
      <c r="AI29">
        <v>166</v>
      </c>
      <c r="AJ29">
        <v>1</v>
      </c>
      <c r="AK29">
        <v>1</v>
      </c>
    </row>
    <row r="30" spans="1:37" x14ac:dyDescent="0.25">
      <c r="A30" s="10" t="s">
        <v>4</v>
      </c>
      <c r="B30" s="10"/>
      <c r="C30" s="10"/>
      <c r="D30" s="10"/>
      <c r="E30" s="10"/>
      <c r="F30" s="10"/>
      <c r="G30" s="10"/>
      <c r="J30" s="1" t="s">
        <v>11</v>
      </c>
      <c r="K30">
        <v>77.191999999999993</v>
      </c>
      <c r="L30">
        <v>78.596000000000004</v>
      </c>
      <c r="M30">
        <v>2.528</v>
      </c>
      <c r="N30">
        <v>1.4570000000000001</v>
      </c>
      <c r="O30">
        <v>2.3340000000000001</v>
      </c>
      <c r="P30">
        <v>1.252</v>
      </c>
      <c r="AE30" s="1" t="s">
        <v>11</v>
      </c>
      <c r="AF30">
        <v>1</v>
      </c>
      <c r="AG30">
        <v>1</v>
      </c>
      <c r="AH30">
        <v>117</v>
      </c>
      <c r="AI30">
        <v>118</v>
      </c>
      <c r="AJ30">
        <v>1</v>
      </c>
      <c r="AK30">
        <v>1</v>
      </c>
    </row>
    <row r="31" spans="1:37" ht="105" x14ac:dyDescent="0.25">
      <c r="A31" s="5"/>
      <c r="B31" s="1" t="s">
        <v>5</v>
      </c>
      <c r="C31" s="6" t="s">
        <v>6</v>
      </c>
      <c r="D31" s="1" t="s">
        <v>7</v>
      </c>
      <c r="E31" s="6" t="s">
        <v>8</v>
      </c>
      <c r="F31" s="1" t="s">
        <v>1</v>
      </c>
      <c r="G31" s="1" t="s">
        <v>0</v>
      </c>
      <c r="J31" s="1" t="s">
        <v>12</v>
      </c>
      <c r="K31">
        <v>70.548000000000002</v>
      </c>
      <c r="L31">
        <v>74.162999999999997</v>
      </c>
      <c r="M31">
        <v>3.0609999999999999</v>
      </c>
      <c r="N31">
        <v>1.4830000000000001</v>
      </c>
      <c r="O31">
        <v>2.2160000000000002</v>
      </c>
      <c r="P31">
        <v>1.1120000000000001</v>
      </c>
      <c r="T31" s="16" t="s">
        <v>17</v>
      </c>
      <c r="U31" s="16"/>
      <c r="V31" s="16"/>
      <c r="AE31" s="1" t="s">
        <v>12</v>
      </c>
      <c r="AF31">
        <v>69</v>
      </c>
      <c r="AG31">
        <v>1</v>
      </c>
      <c r="AH31">
        <v>92</v>
      </c>
      <c r="AI31">
        <v>151</v>
      </c>
      <c r="AJ31">
        <v>1</v>
      </c>
      <c r="AK31">
        <v>1</v>
      </c>
    </row>
    <row r="32" spans="1:37" x14ac:dyDescent="0.25">
      <c r="A32" s="1" t="s">
        <v>9</v>
      </c>
      <c r="B32">
        <v>3606</v>
      </c>
      <c r="C32">
        <v>1167</v>
      </c>
      <c r="D32">
        <v>3112</v>
      </c>
      <c r="E32">
        <v>2536</v>
      </c>
      <c r="F32">
        <v>372</v>
      </c>
      <c r="G32">
        <v>350</v>
      </c>
      <c r="J32" s="1" t="s">
        <v>13</v>
      </c>
      <c r="K32">
        <v>68.435000000000002</v>
      </c>
      <c r="L32">
        <v>72.037000000000006</v>
      </c>
      <c r="M32">
        <v>5.5010000000000003</v>
      </c>
      <c r="N32">
        <v>1.589</v>
      </c>
      <c r="O32">
        <v>2.6560000000000001</v>
      </c>
      <c r="P32">
        <v>1.0840000000000001</v>
      </c>
      <c r="U32" s="1" t="s">
        <v>0</v>
      </c>
      <c r="V32" s="1" t="s">
        <v>1</v>
      </c>
      <c r="AE32" s="1" t="s">
        <v>13</v>
      </c>
      <c r="AF32">
        <v>84</v>
      </c>
      <c r="AG32">
        <v>1</v>
      </c>
      <c r="AH32">
        <v>126</v>
      </c>
      <c r="AI32">
        <v>112</v>
      </c>
      <c r="AJ32">
        <v>1</v>
      </c>
      <c r="AK32">
        <v>1</v>
      </c>
    </row>
    <row r="33" spans="1:37" x14ac:dyDescent="0.25">
      <c r="A33" s="1" t="s">
        <v>10</v>
      </c>
      <c r="B33">
        <v>2363</v>
      </c>
      <c r="C33">
        <v>1482</v>
      </c>
      <c r="D33">
        <v>3514</v>
      </c>
      <c r="E33">
        <v>3278</v>
      </c>
      <c r="F33">
        <v>382</v>
      </c>
      <c r="G33">
        <v>341</v>
      </c>
      <c r="T33" s="1" t="s">
        <v>9</v>
      </c>
      <c r="U33" s="4">
        <v>0.29070000000000001</v>
      </c>
      <c r="V33" s="4">
        <v>0.28333999999999998</v>
      </c>
    </row>
    <row r="34" spans="1:37" x14ac:dyDescent="0.25">
      <c r="A34" s="1" t="s">
        <v>11</v>
      </c>
      <c r="B34">
        <v>1718</v>
      </c>
      <c r="C34">
        <v>1299</v>
      </c>
      <c r="D34">
        <v>3118</v>
      </c>
      <c r="E34">
        <v>2841</v>
      </c>
      <c r="F34">
        <v>364</v>
      </c>
      <c r="G34">
        <v>342</v>
      </c>
      <c r="T34" s="1" t="s">
        <v>10</v>
      </c>
      <c r="U34" s="4">
        <v>0.27074300000000001</v>
      </c>
      <c r="V34" s="4">
        <v>0.29216999999999999</v>
      </c>
    </row>
    <row r="35" spans="1:37" x14ac:dyDescent="0.25">
      <c r="A35" s="1" t="s">
        <v>12</v>
      </c>
      <c r="B35">
        <v>2163</v>
      </c>
      <c r="C35">
        <v>1352</v>
      </c>
      <c r="D35">
        <v>2757</v>
      </c>
      <c r="E35">
        <v>3269</v>
      </c>
      <c r="F35">
        <v>428</v>
      </c>
      <c r="G35">
        <v>342</v>
      </c>
      <c r="T35" s="1" t="s">
        <v>11</v>
      </c>
      <c r="U35" s="4">
        <v>0.26928999999999997</v>
      </c>
      <c r="V35" s="4">
        <v>0.28372999999999998</v>
      </c>
    </row>
    <row r="36" spans="1:37" x14ac:dyDescent="0.25">
      <c r="A36" s="1" t="s">
        <v>13</v>
      </c>
      <c r="B36">
        <v>2714</v>
      </c>
      <c r="C36">
        <v>1353</v>
      </c>
      <c r="D36">
        <v>2656</v>
      </c>
      <c r="E36">
        <v>2909</v>
      </c>
      <c r="F36">
        <v>376</v>
      </c>
      <c r="G36">
        <v>341</v>
      </c>
      <c r="J36" s="11" t="s">
        <v>78</v>
      </c>
      <c r="K36" s="11"/>
      <c r="L36" s="11"/>
      <c r="M36" s="11"/>
      <c r="N36" s="11"/>
      <c r="O36" s="11"/>
      <c r="P36" s="11"/>
      <c r="T36" s="1" t="s">
        <v>12</v>
      </c>
      <c r="U36" s="4">
        <v>0.26923000000000002</v>
      </c>
      <c r="V36" s="4">
        <v>0.28162999999999999</v>
      </c>
    </row>
    <row r="37" spans="1:37" x14ac:dyDescent="0.25">
      <c r="J37" s="13" t="s">
        <v>15</v>
      </c>
      <c r="K37" s="14"/>
      <c r="L37" s="14"/>
      <c r="M37" s="14"/>
      <c r="N37" s="14"/>
      <c r="O37" s="14"/>
      <c r="P37" s="15"/>
      <c r="T37" s="1" t="s">
        <v>13</v>
      </c>
      <c r="U37" s="4">
        <v>0.26934999999999998</v>
      </c>
      <c r="V37" s="4">
        <v>0.27804000000000001</v>
      </c>
      <c r="AE37" s="11" t="s">
        <v>78</v>
      </c>
      <c r="AF37" s="11"/>
      <c r="AG37" s="11"/>
      <c r="AH37" s="11"/>
      <c r="AI37" s="11"/>
      <c r="AJ37" s="11"/>
      <c r="AK37" s="11"/>
    </row>
    <row r="38" spans="1:37" ht="42.75" customHeight="1" x14ac:dyDescent="0.25">
      <c r="J38" s="7"/>
      <c r="K38" s="1" t="s">
        <v>5</v>
      </c>
      <c r="L38" s="6" t="s">
        <v>6</v>
      </c>
      <c r="M38" s="1" t="s">
        <v>7</v>
      </c>
      <c r="N38" s="6" t="s">
        <v>8</v>
      </c>
      <c r="O38" s="1" t="s">
        <v>1</v>
      </c>
      <c r="P38" s="1" t="s">
        <v>0</v>
      </c>
      <c r="AE38" s="13" t="s">
        <v>2</v>
      </c>
      <c r="AF38" s="14"/>
      <c r="AG38" s="14"/>
      <c r="AH38" s="14"/>
      <c r="AI38" s="14"/>
      <c r="AJ38" s="14"/>
      <c r="AK38" s="15"/>
    </row>
    <row r="39" spans="1:37" ht="42.75" customHeight="1" x14ac:dyDescent="0.25">
      <c r="J39" s="1" t="s">
        <v>9</v>
      </c>
      <c r="K39">
        <v>49.95</v>
      </c>
      <c r="L39">
        <v>48.164000000000001</v>
      </c>
      <c r="M39">
        <v>5.0270000000000001</v>
      </c>
      <c r="N39">
        <v>1.3049999999999999</v>
      </c>
      <c r="O39">
        <v>1.847</v>
      </c>
      <c r="P39">
        <v>0.77500000000000002</v>
      </c>
      <c r="AE39" s="7"/>
      <c r="AF39" s="1" t="s">
        <v>5</v>
      </c>
      <c r="AG39" s="6" t="s">
        <v>6</v>
      </c>
      <c r="AH39" s="1" t="s">
        <v>7</v>
      </c>
      <c r="AI39" s="6" t="s">
        <v>8</v>
      </c>
      <c r="AJ39" s="1" t="s">
        <v>1</v>
      </c>
      <c r="AK39" s="1" t="s">
        <v>0</v>
      </c>
    </row>
    <row r="40" spans="1:37" x14ac:dyDescent="0.25">
      <c r="J40" s="1" t="s">
        <v>10</v>
      </c>
      <c r="K40">
        <v>48.927</v>
      </c>
      <c r="L40">
        <v>50.220999999999997</v>
      </c>
      <c r="M40">
        <v>2.242</v>
      </c>
      <c r="N40">
        <v>1.33</v>
      </c>
      <c r="O40">
        <v>2.2999999999999998</v>
      </c>
      <c r="P40">
        <v>0.998</v>
      </c>
      <c r="AE40" s="1" t="s">
        <v>9</v>
      </c>
      <c r="AF40">
        <v>90</v>
      </c>
      <c r="AG40">
        <v>1</v>
      </c>
      <c r="AH40">
        <v>175</v>
      </c>
      <c r="AI40">
        <v>96</v>
      </c>
      <c r="AJ40">
        <v>1</v>
      </c>
      <c r="AK40">
        <v>1</v>
      </c>
    </row>
    <row r="41" spans="1:37" x14ac:dyDescent="0.25">
      <c r="C41" t="s">
        <v>3</v>
      </c>
      <c r="J41" s="1" t="s">
        <v>11</v>
      </c>
      <c r="K41">
        <v>50.481999999999999</v>
      </c>
      <c r="L41">
        <v>49.325000000000003</v>
      </c>
      <c r="M41">
        <v>4.2190000000000003</v>
      </c>
      <c r="N41">
        <v>1.22</v>
      </c>
      <c r="O41">
        <v>2.1579999999999999</v>
      </c>
      <c r="P41">
        <v>1.252</v>
      </c>
      <c r="T41" s="11" t="s">
        <v>77</v>
      </c>
      <c r="U41" s="11"/>
      <c r="V41" s="11"/>
      <c r="W41" s="11"/>
      <c r="X41" s="11"/>
      <c r="Y41" s="11"/>
      <c r="Z41" s="11"/>
      <c r="AE41" s="1" t="s">
        <v>10</v>
      </c>
      <c r="AF41">
        <v>136</v>
      </c>
      <c r="AG41">
        <v>1</v>
      </c>
      <c r="AH41">
        <v>114</v>
      </c>
      <c r="AI41">
        <v>71</v>
      </c>
      <c r="AJ41">
        <v>1</v>
      </c>
      <c r="AK41">
        <v>1</v>
      </c>
    </row>
    <row r="42" spans="1:37" x14ac:dyDescent="0.25">
      <c r="A42" s="11" t="s">
        <v>78</v>
      </c>
      <c r="B42" s="11"/>
      <c r="C42" s="11"/>
      <c r="D42" s="11"/>
      <c r="E42" s="11"/>
      <c r="F42" s="11"/>
      <c r="G42" s="11"/>
      <c r="J42" s="1" t="s">
        <v>12</v>
      </c>
      <c r="K42">
        <v>48.966999999999999</v>
      </c>
      <c r="L42">
        <v>46.488999999999997</v>
      </c>
      <c r="M42">
        <v>6.5289999999999999</v>
      </c>
      <c r="N42">
        <v>1.679</v>
      </c>
      <c r="O42">
        <v>2.0579999999999998</v>
      </c>
      <c r="P42">
        <v>1.1120000000000001</v>
      </c>
      <c r="T42" s="10" t="s">
        <v>16</v>
      </c>
      <c r="U42" s="10"/>
      <c r="V42" s="10"/>
      <c r="W42" s="10"/>
      <c r="X42" s="10"/>
      <c r="Y42" s="10"/>
      <c r="Z42" s="10"/>
      <c r="AE42" s="1" t="s">
        <v>11</v>
      </c>
      <c r="AF42">
        <v>83</v>
      </c>
      <c r="AG42">
        <v>1</v>
      </c>
      <c r="AH42">
        <v>146</v>
      </c>
      <c r="AI42">
        <v>119</v>
      </c>
      <c r="AJ42">
        <v>1</v>
      </c>
      <c r="AK42">
        <v>1</v>
      </c>
    </row>
    <row r="43" spans="1:37" ht="105" x14ac:dyDescent="0.25">
      <c r="A43" s="10" t="s">
        <v>4</v>
      </c>
      <c r="B43" s="10"/>
      <c r="C43" s="10"/>
      <c r="D43" s="10"/>
      <c r="E43" s="10"/>
      <c r="F43" s="10"/>
      <c r="G43" s="10"/>
      <c r="J43" s="1" t="s">
        <v>13</v>
      </c>
      <c r="K43">
        <v>48.271999999999998</v>
      </c>
      <c r="L43">
        <v>47.212000000000003</v>
      </c>
      <c r="M43">
        <v>3.621</v>
      </c>
      <c r="N43">
        <v>1.419</v>
      </c>
      <c r="O43">
        <v>2.4239999999999999</v>
      </c>
      <c r="P43">
        <v>1.0840000000000001</v>
      </c>
      <c r="T43" s="5"/>
      <c r="U43" s="1" t="s">
        <v>5</v>
      </c>
      <c r="V43" s="6" t="s">
        <v>6</v>
      </c>
      <c r="W43" s="1" t="s">
        <v>7</v>
      </c>
      <c r="X43" s="6" t="s">
        <v>8</v>
      </c>
      <c r="Y43" s="1" t="s">
        <v>1</v>
      </c>
      <c r="Z43" s="1" t="s">
        <v>0</v>
      </c>
      <c r="AE43" s="1" t="s">
        <v>12</v>
      </c>
      <c r="AF43">
        <v>242</v>
      </c>
      <c r="AG43">
        <v>1</v>
      </c>
      <c r="AH43">
        <v>129</v>
      </c>
      <c r="AI43">
        <v>93</v>
      </c>
      <c r="AJ43">
        <v>1</v>
      </c>
      <c r="AK43">
        <v>1</v>
      </c>
    </row>
    <row r="44" spans="1:37" ht="105" x14ac:dyDescent="0.25">
      <c r="A44" s="5"/>
      <c r="B44" s="1" t="s">
        <v>5</v>
      </c>
      <c r="C44" s="6" t="s">
        <v>6</v>
      </c>
      <c r="D44" s="1" t="s">
        <v>7</v>
      </c>
      <c r="E44" s="6" t="s">
        <v>8</v>
      </c>
      <c r="F44" s="1" t="s">
        <v>1</v>
      </c>
      <c r="G44" s="1" t="s">
        <v>0</v>
      </c>
      <c r="T44" s="1" t="s">
        <v>9</v>
      </c>
      <c r="U44">
        <v>0</v>
      </c>
      <c r="V44">
        <v>0</v>
      </c>
      <c r="W44">
        <v>0</v>
      </c>
      <c r="X44">
        <v>0</v>
      </c>
      <c r="Y44">
        <v>0.28499999999999998</v>
      </c>
      <c r="Z44">
        <v>0.26700000000000002</v>
      </c>
      <c r="AE44" s="1" t="s">
        <v>13</v>
      </c>
      <c r="AF44">
        <v>116</v>
      </c>
      <c r="AG44">
        <v>1</v>
      </c>
      <c r="AH44">
        <v>92</v>
      </c>
      <c r="AI44">
        <v>107</v>
      </c>
      <c r="AJ44">
        <v>1</v>
      </c>
      <c r="AK44">
        <v>1</v>
      </c>
    </row>
    <row r="45" spans="1:37" x14ac:dyDescent="0.25">
      <c r="A45" s="1" t="s">
        <v>9</v>
      </c>
      <c r="B45">
        <v>3088</v>
      </c>
      <c r="C45">
        <v>1827</v>
      </c>
      <c r="D45">
        <v>3545</v>
      </c>
      <c r="E45">
        <v>2878</v>
      </c>
      <c r="F45">
        <v>408</v>
      </c>
      <c r="G45">
        <v>350</v>
      </c>
      <c r="T45" s="1" t="s">
        <v>10</v>
      </c>
      <c r="U45">
        <v>0</v>
      </c>
      <c r="V45">
        <v>0</v>
      </c>
      <c r="W45">
        <v>0</v>
      </c>
      <c r="X45">
        <v>0</v>
      </c>
      <c r="Y45">
        <v>0.26200000000000001</v>
      </c>
      <c r="Z45">
        <v>0.248</v>
      </c>
    </row>
    <row r="46" spans="1:37" x14ac:dyDescent="0.25">
      <c r="A46" s="1" t="s">
        <v>10</v>
      </c>
      <c r="B46">
        <v>3547</v>
      </c>
      <c r="C46">
        <v>1494</v>
      </c>
      <c r="D46">
        <v>3292</v>
      </c>
      <c r="E46">
        <v>2686</v>
      </c>
      <c r="F46">
        <v>406</v>
      </c>
      <c r="G46">
        <v>341</v>
      </c>
      <c r="T46" s="1" t="s">
        <v>11</v>
      </c>
      <c r="U46">
        <v>0</v>
      </c>
      <c r="V46">
        <v>0</v>
      </c>
      <c r="W46">
        <v>0</v>
      </c>
      <c r="X46">
        <v>0</v>
      </c>
      <c r="Y46">
        <v>0.253</v>
      </c>
      <c r="Z46">
        <v>0.247</v>
      </c>
    </row>
    <row r="47" spans="1:37" x14ac:dyDescent="0.25">
      <c r="A47" s="1" t="s">
        <v>11</v>
      </c>
      <c r="B47">
        <v>2312</v>
      </c>
      <c r="C47">
        <v>1294</v>
      </c>
      <c r="D47">
        <v>3634</v>
      </c>
      <c r="E47">
        <v>2841</v>
      </c>
      <c r="F47">
        <v>405</v>
      </c>
      <c r="G47">
        <v>342</v>
      </c>
      <c r="T47" s="1" t="s">
        <v>12</v>
      </c>
      <c r="U47">
        <v>0</v>
      </c>
      <c r="V47">
        <v>0</v>
      </c>
      <c r="W47">
        <v>0</v>
      </c>
      <c r="X47">
        <v>0</v>
      </c>
      <c r="Y47">
        <v>2.5299999999999998</v>
      </c>
      <c r="Z47">
        <v>0.247</v>
      </c>
    </row>
    <row r="48" spans="1:37" x14ac:dyDescent="0.25">
      <c r="A48" s="1" t="s">
        <v>12</v>
      </c>
      <c r="B48">
        <v>3956</v>
      </c>
      <c r="C48">
        <v>1206</v>
      </c>
      <c r="D48">
        <v>3747</v>
      </c>
      <c r="E48">
        <v>2716</v>
      </c>
      <c r="F48">
        <v>384</v>
      </c>
      <c r="G48">
        <v>342</v>
      </c>
      <c r="T48" s="1" t="s">
        <v>13</v>
      </c>
      <c r="U48">
        <v>0</v>
      </c>
      <c r="V48">
        <v>0</v>
      </c>
      <c r="W48">
        <v>0</v>
      </c>
      <c r="X48">
        <v>0</v>
      </c>
      <c r="Y48">
        <v>0.26200000000000001</v>
      </c>
      <c r="Z48">
        <v>0.247</v>
      </c>
    </row>
    <row r="49" spans="1:37" x14ac:dyDescent="0.25">
      <c r="A49" s="1" t="s">
        <v>13</v>
      </c>
      <c r="B49">
        <v>3425</v>
      </c>
      <c r="C49">
        <v>1807</v>
      </c>
      <c r="D49">
        <v>2454</v>
      </c>
      <c r="E49">
        <v>3408</v>
      </c>
      <c r="F49">
        <v>343</v>
      </c>
      <c r="G49">
        <v>341</v>
      </c>
    </row>
    <row r="50" spans="1:37" x14ac:dyDescent="0.25">
      <c r="J50" s="12" t="s">
        <v>79</v>
      </c>
      <c r="K50" s="12"/>
      <c r="L50" s="12"/>
      <c r="M50" s="12"/>
      <c r="N50" s="12"/>
      <c r="O50" s="12"/>
      <c r="P50" s="12"/>
      <c r="T50" s="16" t="s">
        <v>17</v>
      </c>
      <c r="U50" s="16"/>
      <c r="V50" s="16"/>
    </row>
    <row r="51" spans="1:37" ht="40.5" customHeight="1" x14ac:dyDescent="0.25">
      <c r="J51" s="5"/>
      <c r="K51" s="1" t="s">
        <v>5</v>
      </c>
      <c r="L51" s="6" t="s">
        <v>6</v>
      </c>
      <c r="M51" s="1" t="s">
        <v>7</v>
      </c>
      <c r="N51" s="6" t="s">
        <v>8</v>
      </c>
      <c r="O51" s="1" t="s">
        <v>1</v>
      </c>
      <c r="P51" s="1" t="s">
        <v>0</v>
      </c>
      <c r="U51" s="1" t="s">
        <v>0</v>
      </c>
      <c r="V51" s="1" t="s">
        <v>1</v>
      </c>
    </row>
    <row r="52" spans="1:37" x14ac:dyDescent="0.25">
      <c r="J52" s="31">
        <v>0.15</v>
      </c>
      <c r="K52">
        <f t="shared" ref="K52:P52" si="0">AVERAGE(K5:K9)</f>
        <v>91.754599999999996</v>
      </c>
      <c r="L52">
        <f t="shared" si="0"/>
        <v>84.063200000000009</v>
      </c>
      <c r="M52">
        <f t="shared" si="0"/>
        <v>3.1605999999999996</v>
      </c>
      <c r="N52">
        <f t="shared" si="0"/>
        <v>2.1703999999999999</v>
      </c>
      <c r="O52">
        <f t="shared" si="0"/>
        <v>2.0771999999999999</v>
      </c>
      <c r="P52">
        <f t="shared" si="0"/>
        <v>1.0442</v>
      </c>
      <c r="T52" s="1" t="s">
        <v>9</v>
      </c>
      <c r="U52" s="4">
        <v>0.29070000000000001</v>
      </c>
      <c r="V52" s="4">
        <v>0.28673999999999999</v>
      </c>
    </row>
    <row r="53" spans="1:37" x14ac:dyDescent="0.25">
      <c r="A53" s="12" t="s">
        <v>80</v>
      </c>
      <c r="B53" s="12"/>
      <c r="C53" s="12"/>
      <c r="D53" s="12"/>
      <c r="E53" s="12"/>
      <c r="F53" s="12"/>
      <c r="G53" s="12"/>
      <c r="J53" s="32">
        <v>0.35</v>
      </c>
      <c r="K53">
        <f t="shared" ref="K53:P53" si="1">AVERAGE(K17:K21)</f>
        <v>132.321</v>
      </c>
      <c r="L53">
        <f t="shared" si="1"/>
        <v>150.34780000000001</v>
      </c>
      <c r="M53">
        <f t="shared" si="1"/>
        <v>3.1295999999999999</v>
      </c>
      <c r="N53">
        <f t="shared" si="1"/>
        <v>1.7662</v>
      </c>
      <c r="O53">
        <f t="shared" si="1"/>
        <v>2.3489999999999998</v>
      </c>
      <c r="P53">
        <f t="shared" si="1"/>
        <v>1.0442</v>
      </c>
      <c r="T53" s="1" t="s">
        <v>10</v>
      </c>
      <c r="U53" s="4">
        <v>0.27074300000000001</v>
      </c>
      <c r="V53" s="4">
        <v>0.28569</v>
      </c>
    </row>
    <row r="54" spans="1:37" ht="105" x14ac:dyDescent="0.25">
      <c r="A54" s="5"/>
      <c r="B54" s="1" t="s">
        <v>5</v>
      </c>
      <c r="C54" s="6" t="s">
        <v>6</v>
      </c>
      <c r="D54" s="1" t="s">
        <v>7</v>
      </c>
      <c r="E54" s="6" t="s">
        <v>8</v>
      </c>
      <c r="F54" s="1" t="s">
        <v>1</v>
      </c>
      <c r="G54" s="1" t="s">
        <v>0</v>
      </c>
      <c r="J54" s="32">
        <v>0.55000000000000004</v>
      </c>
      <c r="K54">
        <f t="shared" ref="K54:P54" si="2">AVERAGE(K28:K32)</f>
        <v>73.751800000000003</v>
      </c>
      <c r="L54">
        <f t="shared" si="2"/>
        <v>73.754800000000003</v>
      </c>
      <c r="M54">
        <f t="shared" si="2"/>
        <v>5.15</v>
      </c>
      <c r="N54">
        <f t="shared" si="2"/>
        <v>1.6038000000000001</v>
      </c>
      <c r="O54">
        <f t="shared" si="2"/>
        <v>2.2884000000000002</v>
      </c>
      <c r="P54">
        <f t="shared" si="2"/>
        <v>1.0442</v>
      </c>
      <c r="T54" s="1" t="s">
        <v>11</v>
      </c>
      <c r="U54" s="4">
        <v>0.26928999999999997</v>
      </c>
      <c r="V54" s="4">
        <v>0.27600000000000002</v>
      </c>
    </row>
    <row r="55" spans="1:37" x14ac:dyDescent="0.25">
      <c r="A55" s="31">
        <v>0.15</v>
      </c>
      <c r="B55">
        <f>AVERAGE(B6:B10)</f>
        <v>1457.6</v>
      </c>
      <c r="C55">
        <f t="shared" ref="C55:F55" si="3">AVERAGE(C6:C10)</f>
        <v>1414.4</v>
      </c>
      <c r="D55">
        <f t="shared" si="3"/>
        <v>2942.8</v>
      </c>
      <c r="E55">
        <f t="shared" si="3"/>
        <v>3302</v>
      </c>
      <c r="F55">
        <f t="shared" si="3"/>
        <v>399.2</v>
      </c>
      <c r="G55">
        <f>AVERAGE(G6:G10)</f>
        <v>343.2</v>
      </c>
      <c r="J55" s="32">
        <v>0.7</v>
      </c>
      <c r="K55">
        <f>AVERAGE(K39:K43)</f>
        <v>49.319600000000001</v>
      </c>
      <c r="L55">
        <f t="shared" ref="L55:P55" si="4">AVERAGE(L39:L43)</f>
        <v>48.282200000000003</v>
      </c>
      <c r="M55">
        <f t="shared" si="4"/>
        <v>4.3275999999999994</v>
      </c>
      <c r="N55">
        <f t="shared" si="4"/>
        <v>1.3905999999999998</v>
      </c>
      <c r="O55">
        <f t="shared" si="4"/>
        <v>2.1574</v>
      </c>
      <c r="P55">
        <f t="shared" si="4"/>
        <v>1.0442</v>
      </c>
      <c r="T55" s="1" t="s">
        <v>12</v>
      </c>
      <c r="U55" s="4">
        <v>0.26923000000000002</v>
      </c>
      <c r="V55" s="4">
        <v>0.27554000000000001</v>
      </c>
    </row>
    <row r="56" spans="1:37" x14ac:dyDescent="0.25">
      <c r="A56" s="32">
        <v>0.35</v>
      </c>
      <c r="B56">
        <f>AVERAGE(B19:B23)</f>
        <v>1481.4</v>
      </c>
      <c r="C56">
        <f>AVERAGE(C19:C23)</f>
        <v>1451.8</v>
      </c>
      <c r="D56">
        <f t="shared" ref="D56:F56" si="5">AVERAGE(D19:D23)</f>
        <v>3610.6</v>
      </c>
      <c r="E56">
        <f t="shared" si="5"/>
        <v>3031.4</v>
      </c>
      <c r="F56">
        <f t="shared" si="5"/>
        <v>389.2</v>
      </c>
      <c r="G56">
        <f>AVERAGE(G19:G23)</f>
        <v>343.2</v>
      </c>
      <c r="T56" s="1" t="s">
        <v>13</v>
      </c>
      <c r="U56" s="4">
        <v>0.26934999999999998</v>
      </c>
      <c r="V56" s="4">
        <v>0.28581000000000001</v>
      </c>
    </row>
    <row r="57" spans="1:37" x14ac:dyDescent="0.25">
      <c r="A57" s="32">
        <v>0.55000000000000004</v>
      </c>
      <c r="B57">
        <f>AVERAGE(B32:B36)</f>
        <v>2512.8000000000002</v>
      </c>
      <c r="C57">
        <f t="shared" ref="C57:F57" si="6">AVERAGE(C32:C36)</f>
        <v>1330.6</v>
      </c>
      <c r="D57">
        <f t="shared" si="6"/>
        <v>3031.4</v>
      </c>
      <c r="E57">
        <f t="shared" si="6"/>
        <v>2966.6</v>
      </c>
      <c r="F57">
        <f t="shared" si="6"/>
        <v>384.4</v>
      </c>
      <c r="G57">
        <f>AVERAGE(G32:G36)</f>
        <v>343.2</v>
      </c>
    </row>
    <row r="58" spans="1:37" x14ac:dyDescent="0.25">
      <c r="A58" s="32">
        <v>0.7</v>
      </c>
      <c r="B58">
        <f>AVERAGE(B45:B49)</f>
        <v>3265.6</v>
      </c>
      <c r="C58">
        <f t="shared" ref="C58:F58" si="7">AVERAGE(C45:C49)</f>
        <v>1525.6</v>
      </c>
      <c r="D58">
        <f t="shared" si="7"/>
        <v>3334.4</v>
      </c>
      <c r="E58">
        <f t="shared" si="7"/>
        <v>2905.8</v>
      </c>
      <c r="F58">
        <f t="shared" si="7"/>
        <v>389.2</v>
      </c>
      <c r="G58">
        <f>AVERAGE(G45:G49)</f>
        <v>343.2</v>
      </c>
    </row>
    <row r="60" spans="1:37" x14ac:dyDescent="0.25">
      <c r="T60" s="11" t="s">
        <v>78</v>
      </c>
      <c r="U60" s="11"/>
      <c r="V60" s="11"/>
      <c r="W60" s="11"/>
      <c r="X60" s="11"/>
      <c r="Y60" s="11"/>
      <c r="Z60" s="11"/>
      <c r="AE60" s="12" t="s">
        <v>23</v>
      </c>
      <c r="AF60" s="12"/>
      <c r="AG60" s="12"/>
      <c r="AH60" s="12"/>
      <c r="AI60" s="12"/>
      <c r="AJ60" s="12"/>
      <c r="AK60" s="12"/>
    </row>
    <row r="61" spans="1:37" x14ac:dyDescent="0.25">
      <c r="T61" s="10" t="s">
        <v>16</v>
      </c>
      <c r="U61" s="10"/>
      <c r="V61" s="10"/>
      <c r="W61" s="10"/>
      <c r="X61" s="10"/>
      <c r="Y61" s="10"/>
      <c r="Z61" s="10"/>
      <c r="AE61" s="13" t="s">
        <v>2</v>
      </c>
      <c r="AF61" s="14"/>
      <c r="AG61" s="14"/>
      <c r="AH61" s="14"/>
      <c r="AI61" s="14"/>
      <c r="AJ61" s="14"/>
      <c r="AK61" s="15"/>
    </row>
    <row r="62" spans="1:37" ht="105" x14ac:dyDescent="0.25">
      <c r="T62" s="5"/>
      <c r="U62" s="1" t="s">
        <v>5</v>
      </c>
      <c r="V62" s="6" t="s">
        <v>6</v>
      </c>
      <c r="W62" s="1" t="s">
        <v>7</v>
      </c>
      <c r="X62" s="6" t="s">
        <v>8</v>
      </c>
      <c r="Y62" s="1" t="s">
        <v>1</v>
      </c>
      <c r="Z62" s="1" t="s">
        <v>0</v>
      </c>
      <c r="AE62" s="9"/>
      <c r="AF62" s="1" t="s">
        <v>5</v>
      </c>
      <c r="AG62" s="6" t="s">
        <v>6</v>
      </c>
      <c r="AH62" s="1" t="s">
        <v>7</v>
      </c>
      <c r="AI62" s="6" t="s">
        <v>8</v>
      </c>
      <c r="AJ62" s="1" t="s">
        <v>1</v>
      </c>
      <c r="AK62" s="1" t="s">
        <v>0</v>
      </c>
    </row>
    <row r="63" spans="1:37" x14ac:dyDescent="0.25">
      <c r="T63" s="1" t="s">
        <v>9</v>
      </c>
      <c r="U63">
        <v>0</v>
      </c>
      <c r="V63">
        <v>0</v>
      </c>
      <c r="W63">
        <v>0</v>
      </c>
      <c r="X63">
        <v>0</v>
      </c>
      <c r="Y63">
        <v>0.25700000000000001</v>
      </c>
      <c r="Z63">
        <v>0.26700000000000002</v>
      </c>
      <c r="AE63" s="31">
        <v>0.15</v>
      </c>
      <c r="AF63">
        <f>AVERAGE(AF5:AF9)</f>
        <v>1</v>
      </c>
      <c r="AG63">
        <f>AVERAGE(AG5:AG9)</f>
        <v>1</v>
      </c>
      <c r="AH63">
        <f>AVERAGE(AH5:AH9)</f>
        <v>130</v>
      </c>
      <c r="AI63">
        <f t="shared" ref="AI63:AK63" si="8">AVERAGE(AI5:AI9)</f>
        <v>139.4</v>
      </c>
      <c r="AJ63">
        <f t="shared" si="8"/>
        <v>1</v>
      </c>
      <c r="AK63">
        <f t="shared" si="8"/>
        <v>1</v>
      </c>
    </row>
    <row r="64" spans="1:37" x14ac:dyDescent="0.25">
      <c r="T64" s="1" t="s">
        <v>10</v>
      </c>
      <c r="U64">
        <v>0</v>
      </c>
      <c r="V64">
        <v>0</v>
      </c>
      <c r="W64">
        <v>0</v>
      </c>
      <c r="X64">
        <v>0</v>
      </c>
      <c r="Y64">
        <v>0.25800000000000001</v>
      </c>
      <c r="Z64">
        <v>0.248</v>
      </c>
      <c r="AE64" s="32">
        <v>0.35</v>
      </c>
      <c r="AF64">
        <f>AVERAGE(AF17:AF21)</f>
        <v>1</v>
      </c>
      <c r="AG64">
        <f>AVERAGE(AG17:AG21)</f>
        <v>1</v>
      </c>
      <c r="AH64">
        <f t="shared" ref="AH64:AK64" si="9">AVERAGE(AH17:AH21)</f>
        <v>189</v>
      </c>
      <c r="AI64">
        <f t="shared" si="9"/>
        <v>126.2</v>
      </c>
      <c r="AJ64">
        <f t="shared" si="9"/>
        <v>1</v>
      </c>
      <c r="AK64">
        <f t="shared" si="9"/>
        <v>1</v>
      </c>
    </row>
    <row r="65" spans="20:37" x14ac:dyDescent="0.25">
      <c r="T65" s="1" t="s">
        <v>11</v>
      </c>
      <c r="U65">
        <v>0</v>
      </c>
      <c r="V65">
        <v>0</v>
      </c>
      <c r="W65">
        <v>0</v>
      </c>
      <c r="X65">
        <v>0</v>
      </c>
      <c r="Y65">
        <v>0.26200000000000001</v>
      </c>
      <c r="Z65">
        <v>0.247</v>
      </c>
      <c r="AE65" s="32">
        <v>0.55000000000000004</v>
      </c>
      <c r="AF65">
        <f>AVERAGE(AF28:AF32)</f>
        <v>75.599999999999994</v>
      </c>
      <c r="AG65">
        <f t="shared" ref="AG65:AK65" si="10">AVERAGE(AG28:AG32)</f>
        <v>1</v>
      </c>
      <c r="AH65">
        <f t="shared" si="10"/>
        <v>107.4</v>
      </c>
      <c r="AI65">
        <f>AVERAGE(AI28:AI32)</f>
        <v>128</v>
      </c>
      <c r="AJ65">
        <f t="shared" si="10"/>
        <v>1</v>
      </c>
      <c r="AK65">
        <f t="shared" si="10"/>
        <v>1</v>
      </c>
    </row>
    <row r="66" spans="20:37" x14ac:dyDescent="0.25">
      <c r="T66" s="1" t="s">
        <v>12</v>
      </c>
      <c r="U66">
        <v>0</v>
      </c>
      <c r="V66">
        <v>0</v>
      </c>
      <c r="W66">
        <v>0</v>
      </c>
      <c r="X66">
        <v>0</v>
      </c>
      <c r="Y66">
        <v>0.254</v>
      </c>
      <c r="Z66">
        <v>0.247</v>
      </c>
      <c r="AE66" s="32">
        <v>0.7</v>
      </c>
      <c r="AF66">
        <f>AVERAGE(AF40:AF44)</f>
        <v>133.4</v>
      </c>
      <c r="AG66">
        <f t="shared" ref="AG66:AK66" si="11">AVERAGE(AG40:AG44)</f>
        <v>1</v>
      </c>
      <c r="AH66">
        <f t="shared" si="11"/>
        <v>131.19999999999999</v>
      </c>
      <c r="AI66">
        <f t="shared" si="11"/>
        <v>97.2</v>
      </c>
      <c r="AJ66">
        <f t="shared" si="11"/>
        <v>1</v>
      </c>
      <c r="AK66">
        <f t="shared" si="11"/>
        <v>1</v>
      </c>
    </row>
    <row r="67" spans="20:37" x14ac:dyDescent="0.25">
      <c r="T67" s="1" t="s">
        <v>13</v>
      </c>
      <c r="U67">
        <v>0</v>
      </c>
      <c r="V67">
        <v>0</v>
      </c>
      <c r="W67">
        <v>0</v>
      </c>
      <c r="X67">
        <v>0</v>
      </c>
      <c r="Y67">
        <v>0.26100000000000001</v>
      </c>
      <c r="Z67">
        <v>0.247</v>
      </c>
    </row>
    <row r="69" spans="20:37" x14ac:dyDescent="0.25">
      <c r="T69" s="16" t="s">
        <v>17</v>
      </c>
      <c r="U69" s="16"/>
      <c r="V69" s="16"/>
    </row>
    <row r="70" spans="20:37" x14ac:dyDescent="0.25">
      <c r="U70" s="1" t="s">
        <v>0</v>
      </c>
      <c r="V70" s="1" t="s">
        <v>1</v>
      </c>
    </row>
    <row r="71" spans="20:37" x14ac:dyDescent="0.25">
      <c r="T71" s="1" t="s">
        <v>9</v>
      </c>
      <c r="U71" s="4">
        <v>0.30005300000000001</v>
      </c>
      <c r="V71" s="4">
        <v>0.28077999999999997</v>
      </c>
    </row>
    <row r="72" spans="20:37" x14ac:dyDescent="0.25">
      <c r="T72" s="1" t="s">
        <v>10</v>
      </c>
      <c r="U72" s="4">
        <v>0.31176999999999999</v>
      </c>
      <c r="V72" s="4">
        <v>0.28178999999999998</v>
      </c>
    </row>
    <row r="73" spans="20:37" x14ac:dyDescent="0.25">
      <c r="T73" s="1" t="s">
        <v>11</v>
      </c>
      <c r="U73" s="4">
        <v>0.30499999999999999</v>
      </c>
      <c r="V73" s="4">
        <v>0.28534999999999999</v>
      </c>
    </row>
    <row r="74" spans="20:37" x14ac:dyDescent="0.25">
      <c r="T74" s="1" t="s">
        <v>12</v>
      </c>
      <c r="U74" s="4">
        <v>0.30619000000000002</v>
      </c>
      <c r="V74" s="4">
        <v>0.27648</v>
      </c>
    </row>
    <row r="75" spans="20:37" x14ac:dyDescent="0.25">
      <c r="T75" s="1" t="s">
        <v>13</v>
      </c>
      <c r="U75" s="4">
        <v>0.28906999999999999</v>
      </c>
      <c r="V75" s="4">
        <v>0.28399000000000002</v>
      </c>
    </row>
    <row r="79" spans="20:37" x14ac:dyDescent="0.25">
      <c r="T79" s="12" t="s">
        <v>23</v>
      </c>
      <c r="U79" s="12"/>
      <c r="V79" s="12"/>
      <c r="W79" s="12"/>
      <c r="X79" s="12"/>
      <c r="Y79" s="12"/>
      <c r="Z79" s="12"/>
    </row>
    <row r="80" spans="20:37" x14ac:dyDescent="0.25">
      <c r="T80" s="10" t="s">
        <v>16</v>
      </c>
      <c r="U80" s="10"/>
      <c r="V80" s="10"/>
      <c r="W80" s="10"/>
      <c r="X80" s="10"/>
      <c r="Y80" s="10"/>
      <c r="Z80" s="10"/>
    </row>
    <row r="81" spans="20:22" x14ac:dyDescent="0.25">
      <c r="T81" s="9"/>
      <c r="U81" s="1" t="s">
        <v>1</v>
      </c>
      <c r="V81" s="1" t="s">
        <v>0</v>
      </c>
    </row>
    <row r="82" spans="20:22" x14ac:dyDescent="0.25">
      <c r="T82" s="31">
        <v>0.15</v>
      </c>
      <c r="U82">
        <f>AVERAGE(Y5:Y9)</f>
        <v>0.26151999999999997</v>
      </c>
      <c r="V82">
        <f>AVERAGE(Z5:Z9)</f>
        <v>0.25119999999999998</v>
      </c>
    </row>
    <row r="83" spans="20:22" x14ac:dyDescent="0.25">
      <c r="T83" s="32">
        <v>0.35</v>
      </c>
      <c r="U83">
        <f>AVERAGE(Y25:Y29)</f>
        <v>0.25800000000000001</v>
      </c>
      <c r="V83">
        <f>AVERAGE(Z25:Z29)</f>
        <v>0.25119999999999998</v>
      </c>
    </row>
    <row r="84" spans="20:22" x14ac:dyDescent="0.25">
      <c r="T84" s="32">
        <v>0.55000000000000004</v>
      </c>
      <c r="U84">
        <f>AVERAGE(Y44:Y48)</f>
        <v>0.71839999999999993</v>
      </c>
      <c r="V84">
        <f>AVERAGE(Z44:Z48)</f>
        <v>0.25119999999999998</v>
      </c>
    </row>
    <row r="85" spans="20:22" x14ac:dyDescent="0.25">
      <c r="T85" s="32">
        <v>0.7</v>
      </c>
      <c r="U85">
        <f>AVERAGE(Y63:Y67)</f>
        <v>0.25840000000000007</v>
      </c>
      <c r="V85">
        <f>AVERAGE(Z63:Z67)</f>
        <v>0.25119999999999998</v>
      </c>
    </row>
    <row r="91" spans="20:22" x14ac:dyDescent="0.25">
      <c r="T91" s="19" t="s">
        <v>17</v>
      </c>
      <c r="U91" s="19"/>
      <c r="V91" s="19"/>
    </row>
    <row r="92" spans="20:22" x14ac:dyDescent="0.25">
      <c r="U92" s="1" t="s">
        <v>0</v>
      </c>
      <c r="V92" s="1" t="s">
        <v>1</v>
      </c>
    </row>
    <row r="93" spans="20:22" x14ac:dyDescent="0.25">
      <c r="T93" s="31">
        <v>0.15</v>
      </c>
      <c r="U93" s="4">
        <f>AVERAGE(U13:U17)</f>
        <v>0.27386260000000001</v>
      </c>
      <c r="V93" s="4">
        <f>AVERAGE(V13:V17)</f>
        <v>0.28851199999999999</v>
      </c>
    </row>
    <row r="94" spans="20:22" x14ac:dyDescent="0.25">
      <c r="T94" s="32">
        <v>0.35</v>
      </c>
      <c r="U94" s="4">
        <f>AVERAGE(U33:U37)</f>
        <v>0.27386260000000001</v>
      </c>
      <c r="V94" s="4">
        <f>AVERAGE(V33:V37)</f>
        <v>0.28378200000000003</v>
      </c>
    </row>
    <row r="95" spans="20:22" x14ac:dyDescent="0.25">
      <c r="T95" s="32">
        <v>0.55000000000000004</v>
      </c>
      <c r="U95" s="4">
        <f>AVERAGE(U52:U56)</f>
        <v>0.27386260000000001</v>
      </c>
      <c r="V95" s="4">
        <f>AVERAGE(V52:V56)</f>
        <v>0.28195599999999998</v>
      </c>
    </row>
    <row r="96" spans="20:22" x14ac:dyDescent="0.25">
      <c r="T96" s="32">
        <v>0.7</v>
      </c>
      <c r="U96" s="4">
        <f>AVERAGE(U71:U75)</f>
        <v>0.30241659999999998</v>
      </c>
      <c r="V96" s="4">
        <f>AVERAGE(V71:V75)</f>
        <v>0.28167799999999998</v>
      </c>
    </row>
  </sheetData>
  <mergeCells count="47">
    <mergeCell ref="AE37:AK37"/>
    <mergeCell ref="AE38:AK38"/>
    <mergeCell ref="AE60:AK60"/>
    <mergeCell ref="AE61:AK61"/>
    <mergeCell ref="AE1:AK1"/>
    <mergeCell ref="T79:Z79"/>
    <mergeCell ref="T80:Z80"/>
    <mergeCell ref="T91:V91"/>
    <mergeCell ref="T1:Z1"/>
    <mergeCell ref="AE2:AK2"/>
    <mergeCell ref="AE3:AK3"/>
    <mergeCell ref="AE14:AK14"/>
    <mergeCell ref="AE15:AK15"/>
    <mergeCell ref="AE25:AK25"/>
    <mergeCell ref="AE26:AK26"/>
    <mergeCell ref="T41:Z41"/>
    <mergeCell ref="T42:Z42"/>
    <mergeCell ref="T50:V50"/>
    <mergeCell ref="T60:Z60"/>
    <mergeCell ref="T61:Z61"/>
    <mergeCell ref="T69:V69"/>
    <mergeCell ref="J36:P36"/>
    <mergeCell ref="J37:P37"/>
    <mergeCell ref="J50:P50"/>
    <mergeCell ref="J1:P1"/>
    <mergeCell ref="T2:Z2"/>
    <mergeCell ref="T3:Z3"/>
    <mergeCell ref="T11:V11"/>
    <mergeCell ref="T22:Z22"/>
    <mergeCell ref="T23:Z23"/>
    <mergeCell ref="T31:V31"/>
    <mergeCell ref="A42:G42"/>
    <mergeCell ref="A43:G43"/>
    <mergeCell ref="A53:G53"/>
    <mergeCell ref="A1:G1"/>
    <mergeCell ref="J2:P2"/>
    <mergeCell ref="J3:P3"/>
    <mergeCell ref="J14:P14"/>
    <mergeCell ref="J15:P15"/>
    <mergeCell ref="J25:P25"/>
    <mergeCell ref="J26:P26"/>
    <mergeCell ref="A3:G3"/>
    <mergeCell ref="A4:G4"/>
    <mergeCell ref="A16:G16"/>
    <mergeCell ref="A17:G17"/>
    <mergeCell ref="A29:G29"/>
    <mergeCell ref="A30:G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9C9C-8036-4C2C-9C68-A2F278262EC7}">
  <dimension ref="A1:AK101"/>
  <sheetViews>
    <sheetView topLeftCell="R52" workbookViewId="0">
      <selection activeCell="AJ71" sqref="AJ71"/>
    </sheetView>
  </sheetViews>
  <sheetFormatPr defaultRowHeight="15" x14ac:dyDescent="0.25"/>
  <sheetData>
    <row r="1" spans="1:37" x14ac:dyDescent="0.25">
      <c r="A1" s="18" t="s">
        <v>4</v>
      </c>
      <c r="B1" s="18"/>
      <c r="C1" s="18"/>
      <c r="D1" s="18"/>
      <c r="E1" s="18"/>
      <c r="F1" s="18"/>
      <c r="G1" s="18"/>
      <c r="K1" s="18" t="s">
        <v>15</v>
      </c>
      <c r="L1" s="18"/>
      <c r="M1" s="18"/>
      <c r="N1" s="18"/>
      <c r="O1" s="18"/>
      <c r="P1" s="18"/>
      <c r="Q1" s="18"/>
      <c r="U1" s="18" t="s">
        <v>16</v>
      </c>
      <c r="V1" s="18"/>
      <c r="W1" s="18"/>
      <c r="X1" s="18"/>
      <c r="Y1" s="18"/>
      <c r="Z1" s="18"/>
      <c r="AA1" s="18"/>
      <c r="AE1" s="18" t="s">
        <v>27</v>
      </c>
      <c r="AF1" s="18"/>
      <c r="AG1" s="18"/>
      <c r="AH1" s="18"/>
      <c r="AI1" s="18"/>
      <c r="AJ1" s="18"/>
      <c r="AK1" s="18"/>
    </row>
    <row r="2" spans="1:37" x14ac:dyDescent="0.25">
      <c r="C2" t="s">
        <v>3</v>
      </c>
      <c r="K2" s="11" t="s">
        <v>40</v>
      </c>
      <c r="L2" s="11"/>
      <c r="M2" s="11"/>
      <c r="N2" s="11"/>
      <c r="O2" s="11"/>
      <c r="P2" s="11"/>
      <c r="Q2" s="11"/>
      <c r="U2" s="11" t="s">
        <v>40</v>
      </c>
      <c r="V2" s="11"/>
      <c r="W2" s="11"/>
      <c r="X2" s="11"/>
      <c r="Y2" s="11"/>
      <c r="Z2" s="11"/>
      <c r="AA2" s="11"/>
      <c r="AE2" s="11" t="s">
        <v>40</v>
      </c>
      <c r="AF2" s="11"/>
      <c r="AG2" s="11"/>
      <c r="AH2" s="11"/>
      <c r="AI2" s="11"/>
      <c r="AJ2" s="11"/>
      <c r="AK2" s="11"/>
    </row>
    <row r="3" spans="1:37" x14ac:dyDescent="0.25">
      <c r="A3" s="11" t="s">
        <v>40</v>
      </c>
      <c r="B3" s="11"/>
      <c r="C3" s="11"/>
      <c r="D3" s="11"/>
      <c r="E3" s="11"/>
      <c r="F3" s="11"/>
      <c r="G3" s="11"/>
      <c r="K3" s="10" t="s">
        <v>45</v>
      </c>
      <c r="L3" s="10"/>
      <c r="M3" s="10"/>
      <c r="N3" s="10"/>
      <c r="O3" s="10"/>
      <c r="P3" s="10"/>
      <c r="Q3" s="10"/>
      <c r="U3" s="10" t="s">
        <v>16</v>
      </c>
      <c r="V3" s="10"/>
      <c r="W3" s="10"/>
      <c r="X3" s="10"/>
      <c r="Y3" s="10"/>
      <c r="Z3" s="10"/>
      <c r="AA3" s="10"/>
      <c r="AE3" s="25" t="s">
        <v>47</v>
      </c>
      <c r="AF3" s="26"/>
      <c r="AG3" s="26"/>
      <c r="AH3" s="26"/>
      <c r="AI3" s="26"/>
      <c r="AJ3" s="26"/>
      <c r="AK3" s="27"/>
    </row>
    <row r="4" spans="1:37" ht="105" x14ac:dyDescent="0.25">
      <c r="A4" s="10" t="s">
        <v>4</v>
      </c>
      <c r="B4" s="10"/>
      <c r="C4" s="10"/>
      <c r="D4" s="10"/>
      <c r="E4" s="10"/>
      <c r="F4" s="10"/>
      <c r="G4" s="10"/>
      <c r="K4" s="5"/>
      <c r="L4" s="1" t="s">
        <v>5</v>
      </c>
      <c r="M4" s="6" t="s">
        <v>6</v>
      </c>
      <c r="N4" s="1" t="s">
        <v>7</v>
      </c>
      <c r="O4" s="6" t="s">
        <v>8</v>
      </c>
      <c r="P4" s="1" t="s">
        <v>1</v>
      </c>
      <c r="Q4" s="1" t="s">
        <v>0</v>
      </c>
      <c r="U4" s="5"/>
      <c r="V4" s="1" t="s">
        <v>5</v>
      </c>
      <c r="W4" s="6" t="s">
        <v>6</v>
      </c>
      <c r="X4" s="1" t="s">
        <v>7</v>
      </c>
      <c r="Y4" s="6" t="s">
        <v>8</v>
      </c>
      <c r="Z4" s="1" t="s">
        <v>1</v>
      </c>
      <c r="AA4" s="1" t="s">
        <v>0</v>
      </c>
      <c r="AE4" s="28"/>
      <c r="AF4" s="6" t="s">
        <v>5</v>
      </c>
      <c r="AG4" s="6" t="s">
        <v>6</v>
      </c>
      <c r="AH4" s="6" t="s">
        <v>7</v>
      </c>
      <c r="AI4" s="6" t="s">
        <v>8</v>
      </c>
      <c r="AJ4" s="6" t="s">
        <v>1</v>
      </c>
      <c r="AK4" s="6" t="s">
        <v>0</v>
      </c>
    </row>
    <row r="5" spans="1:37" ht="105" x14ac:dyDescent="0.25">
      <c r="A5" s="5"/>
      <c r="B5" s="1" t="s">
        <v>5</v>
      </c>
      <c r="C5" s="6" t="s">
        <v>6</v>
      </c>
      <c r="D5" s="1" t="s">
        <v>7</v>
      </c>
      <c r="E5" s="6" t="s">
        <v>8</v>
      </c>
      <c r="F5" s="1" t="s">
        <v>1</v>
      </c>
      <c r="G5" s="1" t="s">
        <v>0</v>
      </c>
      <c r="K5" s="1" t="s">
        <v>9</v>
      </c>
      <c r="L5">
        <v>21.148</v>
      </c>
      <c r="M5">
        <v>14.744999999999999</v>
      </c>
      <c r="N5">
        <v>2.74</v>
      </c>
      <c r="O5">
        <v>0.83</v>
      </c>
      <c r="P5">
        <v>0.82</v>
      </c>
      <c r="Q5">
        <v>1.5589999999999999</v>
      </c>
      <c r="U5" s="1" t="s">
        <v>9</v>
      </c>
      <c r="V5">
        <v>0</v>
      </c>
      <c r="W5">
        <v>0</v>
      </c>
      <c r="X5">
        <v>0</v>
      </c>
      <c r="Y5">
        <v>0</v>
      </c>
      <c r="Z5">
        <v>0.15579999999999999</v>
      </c>
      <c r="AA5">
        <v>0.16</v>
      </c>
      <c r="AE5" s="6" t="s">
        <v>9</v>
      </c>
      <c r="AF5" s="29">
        <v>32</v>
      </c>
      <c r="AG5" s="29">
        <v>60</v>
      </c>
      <c r="AH5" s="29">
        <v>786</v>
      </c>
      <c r="AI5" s="29">
        <v>962</v>
      </c>
      <c r="AJ5" s="29">
        <v>4</v>
      </c>
      <c r="AK5" s="29">
        <v>71</v>
      </c>
    </row>
    <row r="6" spans="1:37" x14ac:dyDescent="0.25">
      <c r="A6" s="1" t="s">
        <v>9</v>
      </c>
      <c r="B6">
        <v>1632</v>
      </c>
      <c r="C6">
        <v>1654</v>
      </c>
      <c r="D6">
        <v>3051</v>
      </c>
      <c r="E6">
        <v>2907</v>
      </c>
      <c r="F6">
        <v>377</v>
      </c>
      <c r="G6">
        <v>664</v>
      </c>
      <c r="K6" s="1" t="s">
        <v>10</v>
      </c>
      <c r="L6">
        <v>16.981000000000002</v>
      </c>
      <c r="M6">
        <v>13.682</v>
      </c>
      <c r="N6">
        <v>3.1059999999999999</v>
      </c>
      <c r="O6">
        <v>0.93</v>
      </c>
      <c r="P6">
        <v>0.89500000000000002</v>
      </c>
      <c r="Q6">
        <v>1.2150000000000001</v>
      </c>
      <c r="U6" s="1" t="s">
        <v>10</v>
      </c>
      <c r="V6">
        <v>0</v>
      </c>
      <c r="W6">
        <v>0</v>
      </c>
      <c r="X6">
        <v>0</v>
      </c>
      <c r="Y6">
        <v>0</v>
      </c>
      <c r="Z6">
        <v>0.154</v>
      </c>
      <c r="AA6">
        <v>0.16</v>
      </c>
      <c r="AE6" s="6" t="s">
        <v>10</v>
      </c>
      <c r="AF6" s="29">
        <v>36</v>
      </c>
      <c r="AG6" s="29">
        <v>45</v>
      </c>
      <c r="AH6" s="29">
        <v>871</v>
      </c>
      <c r="AI6" s="29">
        <v>741</v>
      </c>
      <c r="AJ6" s="29">
        <v>3</v>
      </c>
      <c r="AK6" s="29">
        <v>46</v>
      </c>
    </row>
    <row r="7" spans="1:37" x14ac:dyDescent="0.25">
      <c r="A7" s="1" t="s">
        <v>10</v>
      </c>
      <c r="B7">
        <v>2421</v>
      </c>
      <c r="C7">
        <v>1587</v>
      </c>
      <c r="D7">
        <v>2925</v>
      </c>
      <c r="E7">
        <v>3300</v>
      </c>
      <c r="F7">
        <v>393</v>
      </c>
      <c r="G7">
        <v>628</v>
      </c>
      <c r="K7" s="1" t="s">
        <v>11</v>
      </c>
      <c r="L7">
        <v>16.11</v>
      </c>
      <c r="M7">
        <v>14.467000000000001</v>
      </c>
      <c r="N7">
        <v>3.7629999999999999</v>
      </c>
      <c r="O7">
        <v>0.97599999999999998</v>
      </c>
      <c r="P7">
        <v>1.016</v>
      </c>
      <c r="Q7">
        <v>0.96899999999999997</v>
      </c>
      <c r="U7" s="1" t="s">
        <v>11</v>
      </c>
      <c r="V7">
        <v>0</v>
      </c>
      <c r="W7">
        <v>0</v>
      </c>
      <c r="X7">
        <v>0</v>
      </c>
      <c r="Y7">
        <v>0</v>
      </c>
      <c r="Z7">
        <v>0.13100000000000001</v>
      </c>
      <c r="AA7">
        <v>0.16039999999999999</v>
      </c>
      <c r="AE7" s="6" t="s">
        <v>11</v>
      </c>
      <c r="AF7" s="29">
        <v>35</v>
      </c>
      <c r="AG7" s="29">
        <v>32</v>
      </c>
      <c r="AH7" s="29">
        <v>829</v>
      </c>
      <c r="AI7" s="29">
        <v>792</v>
      </c>
      <c r="AJ7" s="29">
        <v>5</v>
      </c>
      <c r="AK7" s="29">
        <v>56</v>
      </c>
    </row>
    <row r="8" spans="1:37" x14ac:dyDescent="0.25">
      <c r="A8" s="1" t="s">
        <v>11</v>
      </c>
      <c r="B8">
        <v>1769</v>
      </c>
      <c r="C8">
        <v>2037</v>
      </c>
      <c r="D8">
        <v>2992</v>
      </c>
      <c r="E8">
        <v>3201</v>
      </c>
      <c r="F8">
        <v>411</v>
      </c>
      <c r="G8">
        <v>602</v>
      </c>
      <c r="K8" s="1" t="s">
        <v>12</v>
      </c>
      <c r="L8">
        <v>18.954000000000001</v>
      </c>
      <c r="M8">
        <v>13.007</v>
      </c>
      <c r="N8">
        <v>3.7210000000000001</v>
      </c>
      <c r="O8">
        <v>0.94</v>
      </c>
      <c r="P8">
        <v>1.111</v>
      </c>
      <c r="Q8">
        <v>0.96299999999999997</v>
      </c>
      <c r="U8" s="1" t="s">
        <v>12</v>
      </c>
      <c r="V8">
        <v>0</v>
      </c>
      <c r="W8">
        <v>0</v>
      </c>
      <c r="X8">
        <v>0</v>
      </c>
      <c r="Y8">
        <v>0</v>
      </c>
      <c r="Z8">
        <v>0.155</v>
      </c>
      <c r="AA8">
        <v>0.16</v>
      </c>
      <c r="AE8" s="6" t="s">
        <v>12</v>
      </c>
      <c r="AF8" s="29">
        <v>27</v>
      </c>
      <c r="AG8" s="29">
        <v>31</v>
      </c>
      <c r="AH8" s="29">
        <v>925</v>
      </c>
      <c r="AI8" s="29">
        <v>791</v>
      </c>
      <c r="AJ8" s="29">
        <v>2</v>
      </c>
      <c r="AK8" s="29">
        <v>63</v>
      </c>
    </row>
    <row r="9" spans="1:37" x14ac:dyDescent="0.25">
      <c r="A9" s="1" t="s">
        <v>12</v>
      </c>
      <c r="B9">
        <v>2412</v>
      </c>
      <c r="C9">
        <v>2102</v>
      </c>
      <c r="D9">
        <v>3225</v>
      </c>
      <c r="E9">
        <v>3185</v>
      </c>
      <c r="F9">
        <v>414</v>
      </c>
      <c r="G9">
        <v>591</v>
      </c>
      <c r="K9" s="1" t="s">
        <v>13</v>
      </c>
      <c r="L9">
        <v>18.306999999999999</v>
      </c>
      <c r="M9">
        <v>16.611999999999998</v>
      </c>
      <c r="N9">
        <v>2.9369999999999998</v>
      </c>
      <c r="O9">
        <v>0.85</v>
      </c>
      <c r="P9">
        <v>1.0109999999999999</v>
      </c>
      <c r="Q9">
        <v>1.2649999999999999</v>
      </c>
      <c r="U9" s="1" t="s">
        <v>13</v>
      </c>
      <c r="V9">
        <v>0</v>
      </c>
      <c r="W9">
        <v>0</v>
      </c>
      <c r="X9">
        <v>0</v>
      </c>
      <c r="Y9">
        <v>0</v>
      </c>
      <c r="Z9">
        <v>0.127</v>
      </c>
      <c r="AA9">
        <v>0.16</v>
      </c>
      <c r="AE9" s="6" t="s">
        <v>13</v>
      </c>
      <c r="AF9" s="29">
        <v>44</v>
      </c>
      <c r="AG9" s="29">
        <v>47</v>
      </c>
      <c r="AH9" s="29">
        <v>847</v>
      </c>
      <c r="AI9" s="29">
        <v>947</v>
      </c>
      <c r="AJ9" s="29">
        <v>12</v>
      </c>
      <c r="AK9" s="29">
        <v>29</v>
      </c>
    </row>
    <row r="10" spans="1:37" x14ac:dyDescent="0.25">
      <c r="A10" s="1" t="s">
        <v>13</v>
      </c>
      <c r="B10">
        <v>1507</v>
      </c>
      <c r="C10">
        <v>1693</v>
      </c>
      <c r="D10">
        <v>3399</v>
      </c>
      <c r="E10">
        <v>2883</v>
      </c>
      <c r="F10">
        <v>443</v>
      </c>
      <c r="G10">
        <v>598</v>
      </c>
    </row>
    <row r="12" spans="1:37" x14ac:dyDescent="0.25">
      <c r="K12" s="11" t="s">
        <v>41</v>
      </c>
      <c r="L12" s="11"/>
      <c r="M12" s="11"/>
      <c r="N12" s="11"/>
      <c r="O12" s="11"/>
      <c r="P12" s="11"/>
      <c r="Q12" s="11"/>
      <c r="U12" s="17" t="s">
        <v>46</v>
      </c>
      <c r="V12" s="17"/>
      <c r="W12" s="17"/>
      <c r="AE12" s="11" t="s">
        <v>41</v>
      </c>
      <c r="AF12" s="11"/>
      <c r="AG12" s="11"/>
      <c r="AH12" s="11"/>
      <c r="AI12" s="11"/>
      <c r="AJ12" s="11"/>
      <c r="AK12" s="11"/>
    </row>
    <row r="13" spans="1:37" x14ac:dyDescent="0.25">
      <c r="C13" t="s">
        <v>3</v>
      </c>
      <c r="K13" s="10" t="s">
        <v>45</v>
      </c>
      <c r="L13" s="10"/>
      <c r="M13" s="10"/>
      <c r="N13" s="10"/>
      <c r="O13" s="10"/>
      <c r="P13" s="10"/>
      <c r="Q13" s="10"/>
      <c r="V13" s="1" t="s">
        <v>0</v>
      </c>
      <c r="W13" s="1" t="s">
        <v>1</v>
      </c>
      <c r="AE13" s="25" t="s">
        <v>47</v>
      </c>
      <c r="AF13" s="26"/>
      <c r="AG13" s="26"/>
      <c r="AH13" s="26"/>
      <c r="AI13" s="26"/>
      <c r="AJ13" s="26"/>
      <c r="AK13" s="27"/>
    </row>
    <row r="14" spans="1:37" ht="105" x14ac:dyDescent="0.25">
      <c r="A14" s="11" t="s">
        <v>41</v>
      </c>
      <c r="B14" s="11"/>
      <c r="C14" s="11"/>
      <c r="D14" s="11"/>
      <c r="E14" s="11"/>
      <c r="F14" s="11"/>
      <c r="G14" s="11"/>
      <c r="K14" s="5"/>
      <c r="L14" s="1" t="s">
        <v>5</v>
      </c>
      <c r="M14" s="6" t="s">
        <v>6</v>
      </c>
      <c r="N14" s="1" t="s">
        <v>7</v>
      </c>
      <c r="O14" s="6" t="s">
        <v>8</v>
      </c>
      <c r="P14" s="1" t="s">
        <v>1</v>
      </c>
      <c r="Q14" s="1" t="s">
        <v>0</v>
      </c>
      <c r="U14" s="1" t="s">
        <v>9</v>
      </c>
      <c r="V14" s="21">
        <v>1</v>
      </c>
      <c r="W14" s="21">
        <v>1</v>
      </c>
      <c r="AE14" s="5"/>
      <c r="AF14" s="1" t="s">
        <v>5</v>
      </c>
      <c r="AG14" s="6" t="s">
        <v>6</v>
      </c>
      <c r="AH14" s="1" t="s">
        <v>7</v>
      </c>
      <c r="AI14" s="6" t="s">
        <v>8</v>
      </c>
      <c r="AJ14" s="1" t="s">
        <v>1</v>
      </c>
      <c r="AK14" s="1" t="s">
        <v>0</v>
      </c>
    </row>
    <row r="15" spans="1:37" x14ac:dyDescent="0.25">
      <c r="A15" s="10" t="s">
        <v>4</v>
      </c>
      <c r="B15" s="10"/>
      <c r="C15" s="10"/>
      <c r="D15" s="10"/>
      <c r="E15" s="10"/>
      <c r="F15" s="10"/>
      <c r="G15" s="10"/>
      <c r="K15" s="1" t="s">
        <v>9</v>
      </c>
      <c r="L15">
        <v>29.824000000000002</v>
      </c>
      <c r="M15">
        <v>26.420999999999999</v>
      </c>
      <c r="N15">
        <v>3.0880000000000001</v>
      </c>
      <c r="O15">
        <v>1.0740000000000001</v>
      </c>
      <c r="P15">
        <v>1.3129999999999999</v>
      </c>
      <c r="Q15">
        <v>1.258</v>
      </c>
      <c r="U15" s="1" t="s">
        <v>10</v>
      </c>
      <c r="V15" s="21">
        <v>1</v>
      </c>
      <c r="W15" s="21">
        <v>1</v>
      </c>
      <c r="AE15" s="1" t="s">
        <v>9</v>
      </c>
      <c r="AF15">
        <v>289</v>
      </c>
      <c r="AG15">
        <v>545</v>
      </c>
      <c r="AH15">
        <v>1543</v>
      </c>
      <c r="AI15">
        <v>977</v>
      </c>
      <c r="AJ15">
        <v>17</v>
      </c>
      <c r="AK15">
        <v>25</v>
      </c>
    </row>
    <row r="16" spans="1:37" ht="105" x14ac:dyDescent="0.25">
      <c r="A16" s="5"/>
      <c r="B16" s="1" t="s">
        <v>5</v>
      </c>
      <c r="C16" s="6" t="s">
        <v>6</v>
      </c>
      <c r="D16" s="1" t="s">
        <v>7</v>
      </c>
      <c r="E16" s="6" t="s">
        <v>8</v>
      </c>
      <c r="F16" s="1" t="s">
        <v>1</v>
      </c>
      <c r="G16" s="1" t="s">
        <v>0</v>
      </c>
      <c r="K16" s="1" t="s">
        <v>10</v>
      </c>
      <c r="L16">
        <v>27.058</v>
      </c>
      <c r="M16">
        <v>26.914999999999999</v>
      </c>
      <c r="N16">
        <v>3.1749999999999998</v>
      </c>
      <c r="O16">
        <v>1.2849999999999999</v>
      </c>
      <c r="P16">
        <v>1.506</v>
      </c>
      <c r="Q16">
        <v>1.74</v>
      </c>
      <c r="U16" s="1" t="s">
        <v>11</v>
      </c>
      <c r="V16" s="21">
        <v>0.75</v>
      </c>
      <c r="W16" s="21">
        <v>1</v>
      </c>
      <c r="AE16" s="1" t="s">
        <v>10</v>
      </c>
      <c r="AF16">
        <v>237</v>
      </c>
      <c r="AG16">
        <v>523</v>
      </c>
      <c r="AH16">
        <v>1709</v>
      </c>
      <c r="AI16">
        <v>1049</v>
      </c>
      <c r="AJ16">
        <v>24</v>
      </c>
      <c r="AK16">
        <v>65</v>
      </c>
    </row>
    <row r="17" spans="1:37" x14ac:dyDescent="0.25">
      <c r="A17" s="1" t="s">
        <v>9</v>
      </c>
      <c r="B17">
        <v>3755</v>
      </c>
      <c r="C17">
        <v>3685</v>
      </c>
      <c r="D17">
        <v>5747</v>
      </c>
      <c r="E17">
        <v>4273</v>
      </c>
      <c r="F17">
        <v>772</v>
      </c>
      <c r="G17">
        <v>811</v>
      </c>
      <c r="K17" s="1" t="s">
        <v>11</v>
      </c>
      <c r="L17">
        <v>30.161999999999999</v>
      </c>
      <c r="M17">
        <v>27.100999999999999</v>
      </c>
      <c r="N17">
        <v>2.9060000000000001</v>
      </c>
      <c r="O17">
        <v>1.075</v>
      </c>
      <c r="P17">
        <v>1.5049999999999999</v>
      </c>
      <c r="Q17">
        <v>1.3979999999999999</v>
      </c>
      <c r="U17" s="1" t="s">
        <v>12</v>
      </c>
      <c r="V17" s="21">
        <v>1</v>
      </c>
      <c r="W17" s="21">
        <v>1</v>
      </c>
      <c r="AE17" s="1" t="s">
        <v>11</v>
      </c>
      <c r="AF17">
        <v>502</v>
      </c>
      <c r="AG17">
        <v>364</v>
      </c>
      <c r="AH17">
        <v>2685</v>
      </c>
      <c r="AI17">
        <v>1082</v>
      </c>
      <c r="AJ17">
        <v>25</v>
      </c>
      <c r="AK17">
        <v>42</v>
      </c>
    </row>
    <row r="18" spans="1:37" x14ac:dyDescent="0.25">
      <c r="A18" s="1" t="s">
        <v>10</v>
      </c>
      <c r="B18">
        <v>3909</v>
      </c>
      <c r="C18">
        <v>4019</v>
      </c>
      <c r="D18">
        <v>5640</v>
      </c>
      <c r="E18">
        <v>4738</v>
      </c>
      <c r="F18">
        <v>760</v>
      </c>
      <c r="G18">
        <v>961</v>
      </c>
      <c r="K18" s="1" t="s">
        <v>12</v>
      </c>
      <c r="L18">
        <v>30.111000000000001</v>
      </c>
      <c r="M18">
        <v>28.888999999999999</v>
      </c>
      <c r="N18">
        <v>3.6160000000000001</v>
      </c>
      <c r="O18">
        <v>1.1870000000000001</v>
      </c>
      <c r="P18">
        <v>1.538</v>
      </c>
      <c r="Q18">
        <v>1.675</v>
      </c>
      <c r="U18" s="1" t="s">
        <v>13</v>
      </c>
      <c r="V18" s="21">
        <v>1</v>
      </c>
      <c r="W18" s="21">
        <v>1</v>
      </c>
      <c r="AE18" s="1" t="s">
        <v>12</v>
      </c>
      <c r="AF18">
        <v>201</v>
      </c>
      <c r="AG18">
        <v>684</v>
      </c>
      <c r="AH18">
        <v>1366</v>
      </c>
      <c r="AI18">
        <v>980</v>
      </c>
      <c r="AJ18">
        <v>13</v>
      </c>
      <c r="AK18">
        <v>49</v>
      </c>
    </row>
    <row r="19" spans="1:37" x14ac:dyDescent="0.25">
      <c r="A19" s="1" t="s">
        <v>11</v>
      </c>
      <c r="B19">
        <v>3466</v>
      </c>
      <c r="C19">
        <v>3216</v>
      </c>
      <c r="D19">
        <v>7361</v>
      </c>
      <c r="E19">
        <v>4941</v>
      </c>
      <c r="F19">
        <v>760</v>
      </c>
      <c r="G19">
        <v>954</v>
      </c>
      <c r="K19" s="1" t="s">
        <v>13</v>
      </c>
      <c r="L19">
        <v>30.692</v>
      </c>
      <c r="M19">
        <v>25.93</v>
      </c>
      <c r="N19">
        <v>2.99</v>
      </c>
      <c r="O19">
        <v>1.2589999999999999</v>
      </c>
      <c r="P19">
        <v>1.7330000000000001</v>
      </c>
      <c r="Q19">
        <v>1.365</v>
      </c>
      <c r="AE19" s="1" t="s">
        <v>13</v>
      </c>
      <c r="AF19">
        <v>402</v>
      </c>
      <c r="AG19">
        <v>301</v>
      </c>
      <c r="AH19">
        <v>1024</v>
      </c>
      <c r="AI19">
        <v>1065</v>
      </c>
      <c r="AJ19">
        <v>11</v>
      </c>
      <c r="AK19">
        <v>39</v>
      </c>
    </row>
    <row r="20" spans="1:37" x14ac:dyDescent="0.25">
      <c r="A20" s="1" t="s">
        <v>12</v>
      </c>
      <c r="B20">
        <v>3461</v>
      </c>
      <c r="C20">
        <v>4182</v>
      </c>
      <c r="D20">
        <v>4852</v>
      </c>
      <c r="E20">
        <v>4526</v>
      </c>
      <c r="F20">
        <v>743</v>
      </c>
      <c r="G20">
        <v>955</v>
      </c>
      <c r="U20" s="22" t="s">
        <v>17</v>
      </c>
      <c r="V20" s="22"/>
      <c r="W20" s="22"/>
    </row>
    <row r="21" spans="1:37" x14ac:dyDescent="0.25">
      <c r="A21" s="1" t="s">
        <v>13</v>
      </c>
      <c r="B21">
        <v>3714</v>
      </c>
      <c r="C21">
        <v>2878</v>
      </c>
      <c r="D21">
        <v>4019</v>
      </c>
      <c r="E21">
        <v>4710</v>
      </c>
      <c r="F21">
        <v>742</v>
      </c>
      <c r="G21">
        <v>857</v>
      </c>
      <c r="U21" s="7"/>
      <c r="V21" s="1" t="s">
        <v>0</v>
      </c>
      <c r="W21" s="1" t="s">
        <v>1</v>
      </c>
    </row>
    <row r="22" spans="1:37" x14ac:dyDescent="0.25">
      <c r="K22" s="11" t="s">
        <v>42</v>
      </c>
      <c r="L22" s="11"/>
      <c r="M22" s="11"/>
      <c r="N22" s="11"/>
      <c r="O22" s="11"/>
      <c r="P22" s="11"/>
      <c r="Q22" s="11"/>
      <c r="U22" s="1" t="s">
        <v>9</v>
      </c>
      <c r="V22" s="4">
        <v>0.16325999999999999</v>
      </c>
      <c r="W22" s="4">
        <v>0.1585</v>
      </c>
    </row>
    <row r="23" spans="1:37" x14ac:dyDescent="0.25">
      <c r="K23" s="10" t="s">
        <v>45</v>
      </c>
      <c r="L23" s="10"/>
      <c r="M23" s="10"/>
      <c r="N23" s="10"/>
      <c r="O23" s="10"/>
      <c r="P23" s="10"/>
      <c r="Q23" s="10"/>
      <c r="U23" s="1" t="s">
        <v>10</v>
      </c>
      <c r="V23" s="4">
        <v>0.16325999999999999</v>
      </c>
      <c r="W23" s="4">
        <v>0.15679000000000001</v>
      </c>
    </row>
    <row r="24" spans="1:37" ht="105" x14ac:dyDescent="0.25">
      <c r="K24" s="5"/>
      <c r="L24" s="1" t="s">
        <v>5</v>
      </c>
      <c r="M24" s="6" t="s">
        <v>6</v>
      </c>
      <c r="N24" s="1" t="s">
        <v>7</v>
      </c>
      <c r="O24" s="6" t="s">
        <v>8</v>
      </c>
      <c r="P24" s="1" t="s">
        <v>1</v>
      </c>
      <c r="Q24" s="1" t="s">
        <v>0</v>
      </c>
      <c r="U24" s="1" t="s">
        <v>11</v>
      </c>
      <c r="V24" s="4">
        <v>0.16325999999999999</v>
      </c>
      <c r="W24" s="4">
        <v>0.13353999999999999</v>
      </c>
    </row>
    <row r="25" spans="1:37" x14ac:dyDescent="0.25">
      <c r="A25" s="11" t="s">
        <v>42</v>
      </c>
      <c r="B25" s="11"/>
      <c r="C25" s="11"/>
      <c r="D25" s="11"/>
      <c r="E25" s="11"/>
      <c r="F25" s="11"/>
      <c r="G25" s="11"/>
      <c r="K25" s="1" t="s">
        <v>9</v>
      </c>
      <c r="L25">
        <v>32.475999999999999</v>
      </c>
      <c r="M25">
        <v>34.78</v>
      </c>
      <c r="N25">
        <v>4.8490000000000002</v>
      </c>
      <c r="O25">
        <v>1.298</v>
      </c>
      <c r="P25">
        <v>2.3860000000000001</v>
      </c>
      <c r="Q25">
        <v>2.2970000000000002</v>
      </c>
      <c r="U25" s="1" t="s">
        <v>12</v>
      </c>
      <c r="V25" s="4">
        <v>0.16325999999999999</v>
      </c>
      <c r="W25" s="4">
        <v>0.15831000000000001</v>
      </c>
    </row>
    <row r="26" spans="1:37" x14ac:dyDescent="0.25">
      <c r="A26" s="10" t="s">
        <v>4</v>
      </c>
      <c r="B26" s="10"/>
      <c r="C26" s="10"/>
      <c r="D26" s="10"/>
      <c r="E26" s="10"/>
      <c r="F26" s="10"/>
      <c r="G26" s="10"/>
      <c r="K26" s="1" t="s">
        <v>10</v>
      </c>
      <c r="L26">
        <v>31.088000000000001</v>
      </c>
      <c r="M26">
        <v>37.369999999999997</v>
      </c>
      <c r="N26">
        <v>5.0170000000000003</v>
      </c>
      <c r="O26">
        <v>1.2150000000000001</v>
      </c>
      <c r="P26">
        <v>1.9810000000000001</v>
      </c>
      <c r="Q26">
        <v>2.4430000000000001</v>
      </c>
      <c r="U26" s="1" t="s">
        <v>13</v>
      </c>
      <c r="V26" s="4">
        <v>0.16320000000000001</v>
      </c>
      <c r="W26" s="4">
        <v>0.12916</v>
      </c>
      <c r="AE26" s="23" t="s">
        <v>42</v>
      </c>
      <c r="AF26" s="23"/>
      <c r="AG26" s="23"/>
      <c r="AH26" s="23"/>
      <c r="AI26" s="23"/>
      <c r="AJ26" s="23"/>
      <c r="AK26" s="23"/>
    </row>
    <row r="27" spans="1:37" ht="35.25" customHeight="1" x14ac:dyDescent="0.25">
      <c r="A27" s="5"/>
      <c r="B27" s="1" t="s">
        <v>5</v>
      </c>
      <c r="C27" s="6" t="s">
        <v>6</v>
      </c>
      <c r="D27" s="1" t="s">
        <v>7</v>
      </c>
      <c r="E27" s="6" t="s">
        <v>8</v>
      </c>
      <c r="F27" s="1" t="s">
        <v>1</v>
      </c>
      <c r="G27" s="1" t="s">
        <v>0</v>
      </c>
      <c r="K27" s="1" t="s">
        <v>11</v>
      </c>
      <c r="L27">
        <v>37.238999999999997</v>
      </c>
      <c r="M27">
        <v>31.91</v>
      </c>
      <c r="N27">
        <v>9.2550000000000008</v>
      </c>
      <c r="O27">
        <v>1.3140000000000001</v>
      </c>
      <c r="P27">
        <v>1.9179999999999999</v>
      </c>
      <c r="Q27">
        <v>2.3119999999999998</v>
      </c>
      <c r="AE27" s="25" t="s">
        <v>47</v>
      </c>
      <c r="AF27" s="26"/>
      <c r="AG27" s="26"/>
      <c r="AH27" s="26"/>
      <c r="AI27" s="26"/>
      <c r="AJ27" s="26"/>
      <c r="AK27" s="27"/>
    </row>
    <row r="28" spans="1:37" ht="105" x14ac:dyDescent="0.25">
      <c r="A28" s="1" t="s">
        <v>9</v>
      </c>
      <c r="B28">
        <v>5713</v>
      </c>
      <c r="C28">
        <v>5288</v>
      </c>
      <c r="D28">
        <v>8926</v>
      </c>
      <c r="E28">
        <v>5711</v>
      </c>
      <c r="F28">
        <v>1152</v>
      </c>
      <c r="G28">
        <v>1630</v>
      </c>
      <c r="K28" s="1" t="s">
        <v>12</v>
      </c>
      <c r="L28">
        <v>34.287999999999997</v>
      </c>
      <c r="M28">
        <v>34.558</v>
      </c>
      <c r="N28">
        <v>10.135</v>
      </c>
      <c r="O28">
        <v>1.3360000000000001</v>
      </c>
      <c r="P28">
        <v>2.246</v>
      </c>
      <c r="Q28">
        <v>1.946</v>
      </c>
      <c r="AE28" s="5"/>
      <c r="AF28" s="1" t="s">
        <v>5</v>
      </c>
      <c r="AG28" s="6" t="s">
        <v>6</v>
      </c>
      <c r="AH28" s="1" t="s">
        <v>7</v>
      </c>
      <c r="AI28" s="6" t="s">
        <v>8</v>
      </c>
      <c r="AJ28" s="1" t="s">
        <v>1</v>
      </c>
      <c r="AK28" s="1" t="s">
        <v>0</v>
      </c>
    </row>
    <row r="29" spans="1:37" x14ac:dyDescent="0.25">
      <c r="A29" s="1" t="s">
        <v>10</v>
      </c>
      <c r="B29">
        <v>7167</v>
      </c>
      <c r="C29">
        <v>4034</v>
      </c>
      <c r="D29">
        <v>8810</v>
      </c>
      <c r="E29">
        <v>6205</v>
      </c>
      <c r="F29">
        <v>1146</v>
      </c>
      <c r="G29">
        <v>1293</v>
      </c>
      <c r="K29" s="1" t="s">
        <v>13</v>
      </c>
      <c r="L29">
        <v>36.151000000000003</v>
      </c>
      <c r="M29">
        <v>35.844000000000001</v>
      </c>
      <c r="N29">
        <v>7.8129999999999997</v>
      </c>
      <c r="O29">
        <v>1.294</v>
      </c>
      <c r="P29">
        <v>1.956</v>
      </c>
      <c r="Q29">
        <v>1.9550000000000001</v>
      </c>
      <c r="AE29" s="1" t="s">
        <v>9</v>
      </c>
      <c r="AF29">
        <v>1882</v>
      </c>
      <c r="AG29">
        <v>577</v>
      </c>
      <c r="AH29">
        <v>2992</v>
      </c>
      <c r="AI29">
        <v>1185</v>
      </c>
      <c r="AJ29">
        <v>32</v>
      </c>
      <c r="AK29">
        <v>275</v>
      </c>
    </row>
    <row r="30" spans="1:37" x14ac:dyDescent="0.25">
      <c r="A30" s="1" t="s">
        <v>11</v>
      </c>
      <c r="B30">
        <v>5865</v>
      </c>
      <c r="C30">
        <v>4852</v>
      </c>
      <c r="D30">
        <v>8435</v>
      </c>
      <c r="E30">
        <v>5961</v>
      </c>
      <c r="F30">
        <v>1117</v>
      </c>
      <c r="G30">
        <v>1450</v>
      </c>
      <c r="U30" s="11" t="s">
        <v>41</v>
      </c>
      <c r="V30" s="11"/>
      <c r="W30" s="11"/>
      <c r="X30" s="11"/>
      <c r="Y30" s="11"/>
      <c r="Z30" s="11"/>
      <c r="AA30" s="11"/>
      <c r="AE30" s="1" t="s">
        <v>10</v>
      </c>
      <c r="AF30">
        <v>2540</v>
      </c>
      <c r="AG30">
        <v>571</v>
      </c>
      <c r="AH30">
        <v>3203</v>
      </c>
      <c r="AI30">
        <v>1186</v>
      </c>
      <c r="AJ30">
        <v>44</v>
      </c>
      <c r="AK30">
        <v>188</v>
      </c>
    </row>
    <row r="31" spans="1:37" x14ac:dyDescent="0.25">
      <c r="A31" s="1" t="s">
        <v>12</v>
      </c>
      <c r="B31">
        <v>6907</v>
      </c>
      <c r="C31">
        <v>3719</v>
      </c>
      <c r="D31">
        <v>8774</v>
      </c>
      <c r="E31">
        <v>5947</v>
      </c>
      <c r="F31">
        <v>1151</v>
      </c>
      <c r="G31">
        <v>1465</v>
      </c>
      <c r="U31" s="10" t="s">
        <v>16</v>
      </c>
      <c r="V31" s="10"/>
      <c r="W31" s="10"/>
      <c r="X31" s="10"/>
      <c r="Y31" s="10"/>
      <c r="Z31" s="10"/>
      <c r="AA31" s="10"/>
      <c r="AE31" s="1" t="s">
        <v>11</v>
      </c>
      <c r="AF31">
        <v>1177</v>
      </c>
      <c r="AG31">
        <v>643</v>
      </c>
      <c r="AH31">
        <v>3402</v>
      </c>
      <c r="AI31">
        <v>1133</v>
      </c>
      <c r="AJ31">
        <v>41</v>
      </c>
      <c r="AK31">
        <v>175</v>
      </c>
    </row>
    <row r="32" spans="1:37" ht="105" x14ac:dyDescent="0.25">
      <c r="A32" s="1" t="s">
        <v>13</v>
      </c>
      <c r="B32">
        <v>6493</v>
      </c>
      <c r="C32">
        <v>4318</v>
      </c>
      <c r="D32">
        <v>10252</v>
      </c>
      <c r="E32">
        <v>5323</v>
      </c>
      <c r="F32">
        <v>1131</v>
      </c>
      <c r="G32">
        <v>1418</v>
      </c>
      <c r="U32" s="5"/>
      <c r="V32" s="1" t="s">
        <v>5</v>
      </c>
      <c r="W32" s="6" t="s">
        <v>6</v>
      </c>
      <c r="X32" s="1" t="s">
        <v>7</v>
      </c>
      <c r="Y32" s="6" t="s">
        <v>8</v>
      </c>
      <c r="Z32" s="1" t="s">
        <v>1</v>
      </c>
      <c r="AA32" s="1" t="s">
        <v>0</v>
      </c>
      <c r="AE32" s="1" t="s">
        <v>12</v>
      </c>
      <c r="AF32">
        <v>2008</v>
      </c>
      <c r="AG32">
        <v>360</v>
      </c>
      <c r="AH32">
        <v>3341</v>
      </c>
      <c r="AI32">
        <v>1202</v>
      </c>
      <c r="AJ32">
        <v>63</v>
      </c>
      <c r="AK32">
        <v>249</v>
      </c>
    </row>
    <row r="33" spans="1:37" x14ac:dyDescent="0.25">
      <c r="K33" s="11" t="s">
        <v>43</v>
      </c>
      <c r="L33" s="11"/>
      <c r="M33" s="11"/>
      <c r="N33" s="11"/>
      <c r="O33" s="11"/>
      <c r="P33" s="11"/>
      <c r="Q33" s="11"/>
      <c r="U33" s="1" t="s">
        <v>9</v>
      </c>
      <c r="V33">
        <v>0</v>
      </c>
      <c r="W33">
        <v>0</v>
      </c>
      <c r="X33">
        <v>0</v>
      </c>
      <c r="Y33">
        <v>0</v>
      </c>
      <c r="Z33">
        <v>0.26300000000000001</v>
      </c>
      <c r="AA33">
        <v>0.28000000000000003</v>
      </c>
      <c r="AE33" s="1" t="s">
        <v>13</v>
      </c>
      <c r="AF33">
        <v>1727</v>
      </c>
      <c r="AG33">
        <v>603</v>
      </c>
      <c r="AH33">
        <v>4038</v>
      </c>
      <c r="AI33">
        <v>1173</v>
      </c>
      <c r="AJ33">
        <v>52</v>
      </c>
      <c r="AK33">
        <v>119</v>
      </c>
    </row>
    <row r="34" spans="1:37" x14ac:dyDescent="0.25">
      <c r="K34" s="10" t="s">
        <v>45</v>
      </c>
      <c r="L34" s="10"/>
      <c r="M34" s="10"/>
      <c r="N34" s="10"/>
      <c r="O34" s="10"/>
      <c r="P34" s="10"/>
      <c r="Q34" s="10"/>
      <c r="U34" s="1" t="s">
        <v>10</v>
      </c>
      <c r="V34">
        <v>0</v>
      </c>
      <c r="W34">
        <v>0</v>
      </c>
      <c r="X34">
        <v>0</v>
      </c>
      <c r="Y34">
        <v>0</v>
      </c>
      <c r="Z34">
        <v>0.26300000000000001</v>
      </c>
      <c r="AA34">
        <v>0.28599999999999998</v>
      </c>
    </row>
    <row r="35" spans="1:37" ht="105" x14ac:dyDescent="0.25">
      <c r="K35" s="5"/>
      <c r="L35" s="1" t="s">
        <v>5</v>
      </c>
      <c r="M35" s="6" t="s">
        <v>6</v>
      </c>
      <c r="N35" s="1" t="s">
        <v>7</v>
      </c>
      <c r="O35" s="6" t="s">
        <v>8</v>
      </c>
      <c r="P35" s="1" t="s">
        <v>1</v>
      </c>
      <c r="Q35" s="1" t="s">
        <v>0</v>
      </c>
      <c r="U35" s="1" t="s">
        <v>11</v>
      </c>
      <c r="V35">
        <v>0</v>
      </c>
      <c r="W35">
        <v>0</v>
      </c>
      <c r="X35">
        <v>0</v>
      </c>
      <c r="Y35">
        <v>0</v>
      </c>
      <c r="Z35">
        <v>0.26640000000000003</v>
      </c>
      <c r="AA35">
        <v>0.247</v>
      </c>
    </row>
    <row r="36" spans="1:37" x14ac:dyDescent="0.25">
      <c r="A36" s="11" t="s">
        <v>43</v>
      </c>
      <c r="B36" s="11"/>
      <c r="C36" s="11"/>
      <c r="D36" s="11"/>
      <c r="E36" s="11"/>
      <c r="F36" s="11"/>
      <c r="G36" s="11"/>
      <c r="K36" s="1" t="s">
        <v>9</v>
      </c>
      <c r="L36">
        <v>50.209000000000003</v>
      </c>
      <c r="M36">
        <v>48.515999999999998</v>
      </c>
      <c r="N36">
        <v>4.8940000000000001</v>
      </c>
      <c r="O36">
        <v>1.17</v>
      </c>
      <c r="P36">
        <v>1.897</v>
      </c>
      <c r="Q36">
        <v>2.327</v>
      </c>
      <c r="U36" s="1" t="s">
        <v>12</v>
      </c>
      <c r="V36">
        <v>0</v>
      </c>
      <c r="W36">
        <v>0</v>
      </c>
      <c r="X36">
        <v>0</v>
      </c>
      <c r="Y36">
        <v>0</v>
      </c>
      <c r="Z36">
        <v>0.26200000000000001</v>
      </c>
      <c r="AA36">
        <v>0.28420000000000001</v>
      </c>
    </row>
    <row r="37" spans="1:37" x14ac:dyDescent="0.25">
      <c r="A37" s="10" t="s">
        <v>4</v>
      </c>
      <c r="B37" s="10"/>
      <c r="C37" s="10"/>
      <c r="D37" s="10"/>
      <c r="E37" s="10"/>
      <c r="F37" s="10"/>
      <c r="G37" s="10"/>
      <c r="K37" s="1" t="s">
        <v>10</v>
      </c>
      <c r="L37">
        <v>46.505000000000003</v>
      </c>
      <c r="M37">
        <v>51.927</v>
      </c>
      <c r="N37">
        <v>8.0719999999999992</v>
      </c>
      <c r="O37">
        <v>1.363</v>
      </c>
      <c r="P37">
        <v>2.5070000000000001</v>
      </c>
      <c r="Q37">
        <v>2.754</v>
      </c>
      <c r="U37" s="1" t="s">
        <v>13</v>
      </c>
      <c r="V37">
        <v>0</v>
      </c>
      <c r="W37">
        <v>0</v>
      </c>
      <c r="X37">
        <v>0</v>
      </c>
      <c r="Y37">
        <v>0</v>
      </c>
      <c r="Z37">
        <v>0.25800000000000001</v>
      </c>
      <c r="AA37">
        <v>0.28499999999999998</v>
      </c>
    </row>
    <row r="38" spans="1:37" ht="33.75" customHeight="1" x14ac:dyDescent="0.25">
      <c r="A38" s="5"/>
      <c r="B38" s="1" t="s">
        <v>5</v>
      </c>
      <c r="C38" s="6" t="s">
        <v>6</v>
      </c>
      <c r="D38" s="1" t="s">
        <v>7</v>
      </c>
      <c r="E38" s="6" t="s">
        <v>8</v>
      </c>
      <c r="F38" s="1" t="s">
        <v>1</v>
      </c>
      <c r="G38" s="1" t="s">
        <v>0</v>
      </c>
      <c r="K38" s="1" t="s">
        <v>11</v>
      </c>
      <c r="L38">
        <v>54.445</v>
      </c>
      <c r="M38">
        <v>52.180999999999997</v>
      </c>
      <c r="N38">
        <v>5.3280000000000003</v>
      </c>
      <c r="O38">
        <v>1.401</v>
      </c>
      <c r="P38">
        <v>2.2530000000000001</v>
      </c>
      <c r="Q38">
        <v>2.7410000000000001</v>
      </c>
      <c r="AE38" s="23" t="s">
        <v>43</v>
      </c>
      <c r="AF38" s="23"/>
      <c r="AG38" s="23"/>
      <c r="AH38" s="23"/>
      <c r="AI38" s="23"/>
      <c r="AJ38" s="23"/>
      <c r="AK38" s="23"/>
    </row>
    <row r="39" spans="1:37" x14ac:dyDescent="0.25">
      <c r="A39" s="1" t="s">
        <v>9</v>
      </c>
      <c r="B39">
        <v>10712</v>
      </c>
      <c r="C39">
        <v>4865</v>
      </c>
      <c r="D39">
        <v>7748</v>
      </c>
      <c r="E39">
        <v>4894</v>
      </c>
      <c r="F39">
        <v>1640</v>
      </c>
      <c r="G39">
        <v>1720</v>
      </c>
      <c r="K39" s="1" t="s">
        <v>12</v>
      </c>
      <c r="L39">
        <v>54.893999999999998</v>
      </c>
      <c r="M39">
        <v>52.052999999999997</v>
      </c>
      <c r="N39">
        <v>4.6059999999999999</v>
      </c>
      <c r="O39">
        <v>1.4770000000000001</v>
      </c>
      <c r="P39">
        <v>2.637</v>
      </c>
      <c r="Q39">
        <v>3.117</v>
      </c>
      <c r="U39" s="22" t="s">
        <v>17</v>
      </c>
      <c r="V39" s="22"/>
      <c r="W39" s="22"/>
      <c r="AE39" s="25" t="s">
        <v>47</v>
      </c>
      <c r="AF39" s="26"/>
      <c r="AG39" s="26"/>
      <c r="AH39" s="26"/>
      <c r="AI39" s="26"/>
      <c r="AJ39" s="26"/>
      <c r="AK39" s="27"/>
    </row>
    <row r="40" spans="1:37" ht="31.5" customHeight="1" x14ac:dyDescent="0.25">
      <c r="A40" s="1" t="s">
        <v>10</v>
      </c>
      <c r="B40">
        <v>7807</v>
      </c>
      <c r="C40">
        <v>5573</v>
      </c>
      <c r="D40">
        <v>9459</v>
      </c>
      <c r="E40">
        <v>5770</v>
      </c>
      <c r="F40">
        <v>1614</v>
      </c>
      <c r="G40">
        <v>1724</v>
      </c>
      <c r="K40" s="1" t="s">
        <v>13</v>
      </c>
      <c r="L40">
        <v>52.613999999999997</v>
      </c>
      <c r="M40">
        <v>52.493000000000002</v>
      </c>
      <c r="N40">
        <v>5.4660000000000002</v>
      </c>
      <c r="O40">
        <v>1.5589999999999999</v>
      </c>
      <c r="P40">
        <v>2.484</v>
      </c>
      <c r="Q40">
        <v>2.738</v>
      </c>
      <c r="U40" s="7"/>
      <c r="V40" s="1" t="s">
        <v>0</v>
      </c>
      <c r="W40" s="1" t="s">
        <v>1</v>
      </c>
      <c r="AE40" s="5"/>
      <c r="AF40" s="1" t="s">
        <v>5</v>
      </c>
      <c r="AG40" s="6" t="s">
        <v>6</v>
      </c>
      <c r="AH40" s="1" t="s">
        <v>7</v>
      </c>
      <c r="AI40" s="6" t="s">
        <v>8</v>
      </c>
      <c r="AJ40" s="1" t="s">
        <v>1</v>
      </c>
      <c r="AK40" s="1" t="s">
        <v>0</v>
      </c>
    </row>
    <row r="41" spans="1:37" x14ac:dyDescent="0.25">
      <c r="A41" s="1" t="s">
        <v>11</v>
      </c>
      <c r="B41">
        <v>10684</v>
      </c>
      <c r="C41">
        <v>6898</v>
      </c>
      <c r="D41">
        <v>9067</v>
      </c>
      <c r="E41">
        <v>5064</v>
      </c>
      <c r="F41">
        <v>1591</v>
      </c>
      <c r="G41">
        <v>1728</v>
      </c>
      <c r="U41" s="1" t="s">
        <v>9</v>
      </c>
      <c r="V41" s="4">
        <v>0.30370000000000003</v>
      </c>
      <c r="W41" s="4">
        <v>0.28538000000000002</v>
      </c>
      <c r="AE41" s="1" t="s">
        <v>9</v>
      </c>
      <c r="AF41">
        <v>4287</v>
      </c>
      <c r="AG41">
        <v>933</v>
      </c>
      <c r="AH41">
        <v>2995</v>
      </c>
      <c r="AI41">
        <v>1161</v>
      </c>
      <c r="AJ41">
        <v>99</v>
      </c>
      <c r="AK41">
        <v>139</v>
      </c>
    </row>
    <row r="42" spans="1:37" x14ac:dyDescent="0.25">
      <c r="A42" s="1" t="s">
        <v>12</v>
      </c>
      <c r="B42">
        <v>10281</v>
      </c>
      <c r="C42">
        <v>5836</v>
      </c>
      <c r="D42">
        <v>9157</v>
      </c>
      <c r="E42">
        <v>5903</v>
      </c>
      <c r="F42">
        <v>1672</v>
      </c>
      <c r="G42">
        <v>1693</v>
      </c>
      <c r="U42" s="1" t="s">
        <v>10</v>
      </c>
      <c r="V42" s="4">
        <v>0.31037999999999999</v>
      </c>
      <c r="W42" s="4">
        <v>0.28585500000000003</v>
      </c>
      <c r="AE42" s="1" t="s">
        <v>10</v>
      </c>
      <c r="AF42">
        <v>2874</v>
      </c>
      <c r="AG42">
        <v>960</v>
      </c>
      <c r="AH42">
        <v>3752</v>
      </c>
      <c r="AI42">
        <v>1096</v>
      </c>
      <c r="AJ42">
        <v>83</v>
      </c>
      <c r="AK42">
        <v>61</v>
      </c>
    </row>
    <row r="43" spans="1:37" x14ac:dyDescent="0.25">
      <c r="A43" s="1" t="s">
        <v>13</v>
      </c>
      <c r="B43">
        <v>8025</v>
      </c>
      <c r="C43">
        <v>6972</v>
      </c>
      <c r="D43">
        <v>10156</v>
      </c>
      <c r="E43">
        <v>4568</v>
      </c>
      <c r="F43">
        <v>1704</v>
      </c>
      <c r="G43">
        <v>1759</v>
      </c>
      <c r="U43" s="1" t="s">
        <v>11</v>
      </c>
      <c r="V43" s="4">
        <v>0.30942999999999998</v>
      </c>
      <c r="W43" s="4">
        <v>0.28932999999999998</v>
      </c>
      <c r="AE43" s="1" t="s">
        <v>11</v>
      </c>
      <c r="AF43">
        <v>4453</v>
      </c>
      <c r="AG43">
        <v>1522</v>
      </c>
      <c r="AH43">
        <v>3712</v>
      </c>
      <c r="AI43">
        <v>1051</v>
      </c>
      <c r="AJ43">
        <v>67</v>
      </c>
      <c r="AK43">
        <v>90</v>
      </c>
    </row>
    <row r="44" spans="1:37" x14ac:dyDescent="0.25">
      <c r="U44" s="1" t="s">
        <v>12</v>
      </c>
      <c r="V44" s="4">
        <v>0.25635999999999998</v>
      </c>
      <c r="W44" s="4">
        <v>0.28589999999999999</v>
      </c>
      <c r="AE44" s="1" t="s">
        <v>12</v>
      </c>
      <c r="AF44">
        <v>4119</v>
      </c>
      <c r="AG44">
        <v>1247</v>
      </c>
      <c r="AH44">
        <v>3846</v>
      </c>
      <c r="AI44">
        <v>1152</v>
      </c>
      <c r="AJ44">
        <v>104</v>
      </c>
      <c r="AK44">
        <v>157</v>
      </c>
    </row>
    <row r="45" spans="1:37" x14ac:dyDescent="0.25">
      <c r="U45" s="1" t="s">
        <v>13</v>
      </c>
      <c r="V45" s="4">
        <v>0.26471</v>
      </c>
      <c r="W45" s="4">
        <v>0.28100999999999998</v>
      </c>
      <c r="AE45" s="1" t="s">
        <v>13</v>
      </c>
      <c r="AF45">
        <v>3054</v>
      </c>
      <c r="AG45">
        <v>2160</v>
      </c>
      <c r="AH45">
        <v>4122</v>
      </c>
      <c r="AI45">
        <v>1097</v>
      </c>
      <c r="AJ45">
        <v>120</v>
      </c>
      <c r="AK45">
        <v>119</v>
      </c>
    </row>
    <row r="48" spans="1:37" x14ac:dyDescent="0.25">
      <c r="A48" s="12" t="s">
        <v>44</v>
      </c>
      <c r="B48" s="12"/>
      <c r="C48" s="12"/>
      <c r="D48" s="12"/>
      <c r="E48" s="12"/>
      <c r="F48" s="12"/>
      <c r="G48" s="12"/>
      <c r="U48" s="23" t="s">
        <v>42</v>
      </c>
      <c r="V48" s="23"/>
      <c r="W48" s="23"/>
      <c r="X48" s="23"/>
      <c r="Y48" s="23"/>
      <c r="Z48" s="23"/>
      <c r="AA48" s="23"/>
    </row>
    <row r="49" spans="1:37" ht="30.75" customHeight="1" x14ac:dyDescent="0.25">
      <c r="A49" s="5"/>
      <c r="B49" s="1" t="s">
        <v>5</v>
      </c>
      <c r="C49" s="6" t="s">
        <v>6</v>
      </c>
      <c r="D49" s="1" t="s">
        <v>7</v>
      </c>
      <c r="E49" s="6" t="s">
        <v>8</v>
      </c>
      <c r="F49" s="1" t="s">
        <v>1</v>
      </c>
      <c r="G49" s="1" t="s">
        <v>0</v>
      </c>
      <c r="U49" s="10" t="s">
        <v>16</v>
      </c>
      <c r="V49" s="10"/>
      <c r="W49" s="10"/>
      <c r="X49" s="10"/>
      <c r="Y49" s="10"/>
      <c r="Z49" s="10"/>
      <c r="AA49" s="10"/>
      <c r="AE49" s="12" t="s">
        <v>2</v>
      </c>
      <c r="AF49" s="12"/>
      <c r="AG49" s="12"/>
      <c r="AH49" s="12"/>
      <c r="AI49" s="12"/>
      <c r="AJ49" s="12"/>
      <c r="AK49" s="12"/>
    </row>
    <row r="50" spans="1:37" ht="105" x14ac:dyDescent="0.25">
      <c r="A50" s="1">
        <v>2</v>
      </c>
      <c r="B50">
        <f t="shared" ref="B50:G50" si="0">AVERAGE(B6:B10)</f>
        <v>1948.2</v>
      </c>
      <c r="C50">
        <f t="shared" si="0"/>
        <v>1814.6</v>
      </c>
      <c r="D50">
        <f t="shared" si="0"/>
        <v>3118.4</v>
      </c>
      <c r="E50">
        <f t="shared" si="0"/>
        <v>3095.2</v>
      </c>
      <c r="F50">
        <f t="shared" si="0"/>
        <v>407.6</v>
      </c>
      <c r="G50">
        <f t="shared" si="0"/>
        <v>616.6</v>
      </c>
      <c r="U50" s="5"/>
      <c r="V50" s="1" t="s">
        <v>5</v>
      </c>
      <c r="W50" s="6" t="s">
        <v>6</v>
      </c>
      <c r="X50" s="1" t="s">
        <v>7</v>
      </c>
      <c r="Y50" s="6" t="s">
        <v>8</v>
      </c>
      <c r="Z50" s="1" t="s">
        <v>1</v>
      </c>
      <c r="AA50" s="1" t="s">
        <v>0</v>
      </c>
      <c r="AE50" s="5"/>
      <c r="AF50" s="1" t="s">
        <v>5</v>
      </c>
      <c r="AG50" s="6" t="s">
        <v>6</v>
      </c>
      <c r="AH50" s="1" t="s">
        <v>7</v>
      </c>
      <c r="AI50" s="6" t="s">
        <v>8</v>
      </c>
      <c r="AJ50" s="1" t="s">
        <v>1</v>
      </c>
      <c r="AK50" s="1" t="s">
        <v>0</v>
      </c>
    </row>
    <row r="51" spans="1:37" x14ac:dyDescent="0.25">
      <c r="A51" s="1">
        <v>4</v>
      </c>
      <c r="B51">
        <f t="shared" ref="B51:G51" si="1">AVERAGE(B17:B21)</f>
        <v>3661</v>
      </c>
      <c r="C51">
        <f t="shared" si="1"/>
        <v>3596</v>
      </c>
      <c r="D51">
        <f t="shared" si="1"/>
        <v>5523.8</v>
      </c>
      <c r="E51">
        <f t="shared" si="1"/>
        <v>4637.6000000000004</v>
      </c>
      <c r="F51">
        <f t="shared" si="1"/>
        <v>755.4</v>
      </c>
      <c r="G51">
        <f t="shared" si="1"/>
        <v>907.6</v>
      </c>
      <c r="U51" s="1" t="s">
        <v>9</v>
      </c>
      <c r="V51">
        <v>6.8999999999999999E-3</v>
      </c>
      <c r="W51">
        <v>0</v>
      </c>
      <c r="X51">
        <v>0</v>
      </c>
      <c r="Y51">
        <v>0</v>
      </c>
      <c r="Z51">
        <v>0.50700000000000001</v>
      </c>
      <c r="AA51">
        <v>0.51400000000000001</v>
      </c>
      <c r="AE51" s="1">
        <v>2</v>
      </c>
      <c r="AF51">
        <f t="shared" ref="AF51:AK51" si="2">AVERAGE(AF5:AF9)</f>
        <v>34.799999999999997</v>
      </c>
      <c r="AG51">
        <f t="shared" si="2"/>
        <v>43</v>
      </c>
      <c r="AH51">
        <f t="shared" si="2"/>
        <v>851.6</v>
      </c>
      <c r="AI51">
        <f>AVERAGE(AI5:AI9)</f>
        <v>846.6</v>
      </c>
      <c r="AJ51">
        <f t="shared" si="2"/>
        <v>5.2</v>
      </c>
      <c r="AK51">
        <f t="shared" si="2"/>
        <v>53</v>
      </c>
    </row>
    <row r="52" spans="1:37" x14ac:dyDescent="0.25">
      <c r="A52" s="1">
        <v>8</v>
      </c>
      <c r="B52">
        <f>AVERAGE(B28:B32)</f>
        <v>6429</v>
      </c>
      <c r="C52">
        <f t="shared" ref="C52:G52" si="3">AVERAGE(C28:C32)</f>
        <v>4442.2</v>
      </c>
      <c r="D52">
        <f t="shared" si="3"/>
        <v>9039.4</v>
      </c>
      <c r="E52">
        <f t="shared" si="3"/>
        <v>5829.4</v>
      </c>
      <c r="F52">
        <f t="shared" si="3"/>
        <v>1139.4000000000001</v>
      </c>
      <c r="G52">
        <f t="shared" si="3"/>
        <v>1451.2</v>
      </c>
      <c r="U52" s="1" t="s">
        <v>10</v>
      </c>
      <c r="V52">
        <v>7.6E-3</v>
      </c>
      <c r="W52">
        <v>0</v>
      </c>
      <c r="X52">
        <v>0</v>
      </c>
      <c r="Y52">
        <v>0</v>
      </c>
      <c r="Z52">
        <v>0.498</v>
      </c>
      <c r="AA52">
        <v>0.51300000000000001</v>
      </c>
      <c r="AE52" s="1">
        <v>4</v>
      </c>
      <c r="AF52">
        <f t="shared" ref="AF52:AK52" si="4">AVERAGE(AF15:AF19)</f>
        <v>326.2</v>
      </c>
      <c r="AG52">
        <f t="shared" si="4"/>
        <v>483.4</v>
      </c>
      <c r="AH52">
        <f t="shared" si="4"/>
        <v>1665.4</v>
      </c>
      <c r="AI52">
        <f t="shared" si="4"/>
        <v>1030.5999999999999</v>
      </c>
      <c r="AJ52">
        <f t="shared" si="4"/>
        <v>18</v>
      </c>
      <c r="AK52">
        <f t="shared" si="4"/>
        <v>44</v>
      </c>
    </row>
    <row r="53" spans="1:37" x14ac:dyDescent="0.25">
      <c r="A53" s="1">
        <v>16</v>
      </c>
      <c r="B53">
        <f t="shared" ref="B53:G53" si="5">AVERAGE(B39:B43)</f>
        <v>9501.7999999999993</v>
      </c>
      <c r="C53">
        <f t="shared" si="5"/>
        <v>6028.8</v>
      </c>
      <c r="D53">
        <f t="shared" si="5"/>
        <v>9117.4</v>
      </c>
      <c r="E53">
        <f t="shared" si="5"/>
        <v>5239.8</v>
      </c>
      <c r="F53">
        <f t="shared" si="5"/>
        <v>1644.2</v>
      </c>
      <c r="G53">
        <f t="shared" si="5"/>
        <v>1724.8</v>
      </c>
      <c r="U53" s="1" t="s">
        <v>11</v>
      </c>
      <c r="V53">
        <v>6.7000000000000002E-3</v>
      </c>
      <c r="W53">
        <v>0</v>
      </c>
      <c r="X53">
        <v>0</v>
      </c>
      <c r="Y53">
        <v>0</v>
      </c>
      <c r="Z53">
        <v>0.498</v>
      </c>
      <c r="AA53">
        <v>0.50800000000000001</v>
      </c>
      <c r="AE53" s="1">
        <v>8</v>
      </c>
      <c r="AF53">
        <f t="shared" ref="AF53:AK53" si="6">AVERAGE(AF29:AF33)</f>
        <v>1866.8</v>
      </c>
      <c r="AG53">
        <f t="shared" si="6"/>
        <v>550.79999999999995</v>
      </c>
      <c r="AH53">
        <f t="shared" si="6"/>
        <v>3395.2</v>
      </c>
      <c r="AI53">
        <f>AVERAGE(AI29:AI33)</f>
        <v>1175.8</v>
      </c>
      <c r="AJ53">
        <f t="shared" si="6"/>
        <v>46.4</v>
      </c>
      <c r="AK53">
        <f t="shared" si="6"/>
        <v>201.2</v>
      </c>
    </row>
    <row r="54" spans="1:37" x14ac:dyDescent="0.25">
      <c r="K54" s="12" t="s">
        <v>44</v>
      </c>
      <c r="L54" s="12"/>
      <c r="M54" s="12"/>
      <c r="N54" s="12"/>
      <c r="O54" s="12"/>
      <c r="P54" s="12"/>
      <c r="Q54" s="12"/>
      <c r="U54" s="1" t="s">
        <v>12</v>
      </c>
      <c r="V54">
        <v>4.3E-3</v>
      </c>
      <c r="W54">
        <v>0</v>
      </c>
      <c r="X54">
        <v>0</v>
      </c>
      <c r="Y54">
        <v>0</v>
      </c>
      <c r="Z54">
        <v>0.48799999999999999</v>
      </c>
      <c r="AA54">
        <v>0.505</v>
      </c>
      <c r="AE54" s="1">
        <v>16</v>
      </c>
      <c r="AF54">
        <f t="shared" ref="AF54:AK54" si="7">AVERAGE(AF41:AF45)</f>
        <v>3757.4</v>
      </c>
      <c r="AG54">
        <f t="shared" si="7"/>
        <v>1364.4</v>
      </c>
      <c r="AH54">
        <f t="shared" si="7"/>
        <v>3685.4</v>
      </c>
      <c r="AI54">
        <f t="shared" si="7"/>
        <v>1111.4000000000001</v>
      </c>
      <c r="AJ54">
        <f t="shared" si="7"/>
        <v>94.6</v>
      </c>
      <c r="AK54">
        <f t="shared" si="7"/>
        <v>113.2</v>
      </c>
    </row>
    <row r="55" spans="1:37" ht="105" x14ac:dyDescent="0.25">
      <c r="K55" s="5"/>
      <c r="L55" s="1" t="s">
        <v>5</v>
      </c>
      <c r="M55" s="6" t="s">
        <v>6</v>
      </c>
      <c r="N55" s="1" t="s">
        <v>7</v>
      </c>
      <c r="O55" s="6" t="s">
        <v>8</v>
      </c>
      <c r="P55" s="1" t="s">
        <v>1</v>
      </c>
      <c r="Q55" s="1" t="s">
        <v>0</v>
      </c>
      <c r="U55" s="1" t="s">
        <v>13</v>
      </c>
      <c r="V55">
        <v>4.7999999999999996E-3</v>
      </c>
      <c r="W55">
        <v>0</v>
      </c>
      <c r="X55">
        <v>0</v>
      </c>
      <c r="Y55">
        <v>0</v>
      </c>
      <c r="Z55">
        <v>0.49199999999999999</v>
      </c>
      <c r="AA55">
        <v>0.52300000000000002</v>
      </c>
    </row>
    <row r="56" spans="1:37" x14ac:dyDescent="0.25">
      <c r="K56" s="1">
        <v>2</v>
      </c>
      <c r="L56">
        <f t="shared" ref="L56:Q56" si="8">AVERAGE(L5:L9)</f>
        <v>18.300000000000004</v>
      </c>
      <c r="M56">
        <f t="shared" si="8"/>
        <v>14.502599999999997</v>
      </c>
      <c r="N56">
        <f t="shared" si="8"/>
        <v>3.2534000000000001</v>
      </c>
      <c r="O56">
        <f t="shared" si="8"/>
        <v>0.9052</v>
      </c>
      <c r="P56">
        <f t="shared" si="8"/>
        <v>0.97059999999999991</v>
      </c>
      <c r="Q56">
        <f t="shared" si="8"/>
        <v>1.1941999999999999</v>
      </c>
    </row>
    <row r="57" spans="1:37" x14ac:dyDescent="0.25">
      <c r="K57" s="1">
        <v>4</v>
      </c>
      <c r="L57">
        <f t="shared" ref="L57:Q57" si="9">AVERAGE(L15:L19)</f>
        <v>29.569400000000002</v>
      </c>
      <c r="M57">
        <f t="shared" si="9"/>
        <v>27.051200000000001</v>
      </c>
      <c r="N57">
        <f t="shared" si="9"/>
        <v>3.1550000000000002</v>
      </c>
      <c r="O57">
        <f t="shared" si="9"/>
        <v>1.1760000000000002</v>
      </c>
      <c r="P57">
        <f t="shared" si="9"/>
        <v>1.5190000000000001</v>
      </c>
      <c r="Q57">
        <f t="shared" si="9"/>
        <v>1.4872000000000001</v>
      </c>
      <c r="U57" s="22" t="s">
        <v>17</v>
      </c>
      <c r="V57" s="22"/>
      <c r="W57" s="22"/>
    </row>
    <row r="58" spans="1:37" x14ac:dyDescent="0.25">
      <c r="K58" s="1">
        <v>8</v>
      </c>
      <c r="L58">
        <f t="shared" ref="L58:Q58" si="10">AVERAGE(L25:L29)</f>
        <v>34.248400000000004</v>
      </c>
      <c r="M58">
        <f t="shared" si="10"/>
        <v>34.892399999999995</v>
      </c>
      <c r="N58">
        <f t="shared" si="10"/>
        <v>7.4138000000000002</v>
      </c>
      <c r="O58">
        <f t="shared" si="10"/>
        <v>1.2914000000000001</v>
      </c>
      <c r="P58">
        <f t="shared" si="10"/>
        <v>2.0973999999999999</v>
      </c>
      <c r="Q58">
        <f t="shared" si="10"/>
        <v>2.1905999999999999</v>
      </c>
      <c r="U58" s="7"/>
      <c r="V58" s="1" t="s">
        <v>0</v>
      </c>
      <c r="W58" s="1" t="s">
        <v>1</v>
      </c>
      <c r="X58" s="1" t="s">
        <v>5</v>
      </c>
    </row>
    <row r="59" spans="1:37" x14ac:dyDescent="0.25">
      <c r="K59" s="1">
        <v>16</v>
      </c>
      <c r="L59">
        <f t="shared" ref="L59:Q59" si="11">AVERAGE(L36:L40)</f>
        <v>51.733399999999996</v>
      </c>
      <c r="M59">
        <f t="shared" si="11"/>
        <v>51.434000000000005</v>
      </c>
      <c r="N59">
        <f t="shared" si="11"/>
        <v>5.6731999999999996</v>
      </c>
      <c r="O59">
        <f t="shared" si="11"/>
        <v>1.3940000000000001</v>
      </c>
      <c r="P59">
        <f t="shared" si="11"/>
        <v>2.3555999999999999</v>
      </c>
      <c r="Q59">
        <f t="shared" si="11"/>
        <v>2.7353999999999998</v>
      </c>
      <c r="U59" s="1" t="s">
        <v>9</v>
      </c>
      <c r="V59" s="4">
        <v>0.72494999999999998</v>
      </c>
      <c r="W59" s="4">
        <v>0.71103000000000005</v>
      </c>
      <c r="X59" s="4">
        <v>1.4659999999999999E-2</v>
      </c>
    </row>
    <row r="60" spans="1:37" x14ac:dyDescent="0.25">
      <c r="U60" s="1" t="s">
        <v>10</v>
      </c>
      <c r="V60" s="4">
        <v>0.72079000000000004</v>
      </c>
      <c r="W60" s="4">
        <v>0.70164000000000004</v>
      </c>
      <c r="X60" s="4">
        <v>2.069E-2</v>
      </c>
    </row>
    <row r="61" spans="1:37" x14ac:dyDescent="0.25">
      <c r="U61" s="1" t="s">
        <v>11</v>
      </c>
      <c r="V61" s="4">
        <v>0.72019</v>
      </c>
      <c r="W61" s="4">
        <v>0.70191999999999999</v>
      </c>
      <c r="X61" s="4">
        <v>3.7330000000000002E-2</v>
      </c>
    </row>
    <row r="62" spans="1:37" x14ac:dyDescent="0.25">
      <c r="U62" s="1" t="s">
        <v>12</v>
      </c>
      <c r="V62" s="4">
        <v>0.71465000000000001</v>
      </c>
      <c r="W62" s="4">
        <v>0.68279000000000001</v>
      </c>
      <c r="X62" s="4">
        <v>1.336E-2</v>
      </c>
    </row>
    <row r="63" spans="1:37" x14ac:dyDescent="0.25">
      <c r="U63" s="1" t="s">
        <v>13</v>
      </c>
      <c r="V63" s="4">
        <v>0.73109000000000002</v>
      </c>
      <c r="W63" s="4">
        <v>0.69193000000000005</v>
      </c>
      <c r="X63" s="4">
        <v>8.6E-3</v>
      </c>
    </row>
    <row r="67" spans="21:27" x14ac:dyDescent="0.25">
      <c r="U67" s="23" t="s">
        <v>43</v>
      </c>
      <c r="V67" s="23"/>
      <c r="W67" s="23"/>
      <c r="X67" s="23"/>
      <c r="Y67" s="23"/>
      <c r="Z67" s="23"/>
      <c r="AA67" s="23"/>
    </row>
    <row r="68" spans="21:27" x14ac:dyDescent="0.25">
      <c r="U68" s="10" t="s">
        <v>16</v>
      </c>
      <c r="V68" s="10"/>
      <c r="W68" s="10"/>
      <c r="X68" s="10"/>
      <c r="Y68" s="10"/>
      <c r="Z68" s="10"/>
      <c r="AA68" s="10"/>
    </row>
    <row r="69" spans="21:27" ht="105" x14ac:dyDescent="0.25">
      <c r="U69" s="5"/>
      <c r="V69" s="1" t="s">
        <v>5</v>
      </c>
      <c r="W69" s="6" t="s">
        <v>6</v>
      </c>
      <c r="X69" s="1" t="s">
        <v>7</v>
      </c>
      <c r="Y69" s="6" t="s">
        <v>8</v>
      </c>
      <c r="Z69" s="1" t="s">
        <v>1</v>
      </c>
      <c r="AA69" s="1" t="s">
        <v>0</v>
      </c>
    </row>
    <row r="70" spans="21:27" x14ac:dyDescent="0.25">
      <c r="U70" s="1" t="s">
        <v>9</v>
      </c>
      <c r="V70">
        <v>3.5999999999999997E-2</v>
      </c>
      <c r="W70">
        <v>0</v>
      </c>
      <c r="X70">
        <v>0</v>
      </c>
      <c r="Y70">
        <v>0</v>
      </c>
      <c r="Z70">
        <v>0.85799999999999998</v>
      </c>
      <c r="AA70">
        <v>0.88500000000000001</v>
      </c>
    </row>
    <row r="71" spans="21:27" x14ac:dyDescent="0.25">
      <c r="U71" s="1" t="s">
        <v>10</v>
      </c>
      <c r="V71">
        <v>8.1640000000000004E-2</v>
      </c>
      <c r="W71">
        <v>0</v>
      </c>
      <c r="X71">
        <v>0</v>
      </c>
      <c r="Y71">
        <v>0</v>
      </c>
      <c r="Z71">
        <v>0.85099999999999998</v>
      </c>
      <c r="AA71">
        <v>0.86799999999999999</v>
      </c>
    </row>
    <row r="72" spans="21:27" x14ac:dyDescent="0.25">
      <c r="U72" s="1" t="s">
        <v>11</v>
      </c>
      <c r="V72">
        <v>7.3400000000000007E-2</v>
      </c>
      <c r="W72">
        <v>0</v>
      </c>
      <c r="X72">
        <v>0</v>
      </c>
      <c r="Y72">
        <v>0</v>
      </c>
      <c r="Z72">
        <v>0.86</v>
      </c>
      <c r="AA72">
        <v>0.87170000000000003</v>
      </c>
    </row>
    <row r="73" spans="21:27" x14ac:dyDescent="0.25">
      <c r="U73" s="1" t="s">
        <v>12</v>
      </c>
      <c r="V73">
        <v>6.0999999999999999E-2</v>
      </c>
      <c r="W73">
        <v>0</v>
      </c>
      <c r="X73">
        <v>0</v>
      </c>
      <c r="Y73">
        <v>0</v>
      </c>
      <c r="Z73">
        <v>0.86119999999999997</v>
      </c>
      <c r="AA73">
        <v>0.88200000000000001</v>
      </c>
    </row>
    <row r="74" spans="21:27" x14ac:dyDescent="0.25">
      <c r="U74" s="1" t="s">
        <v>13</v>
      </c>
      <c r="V74">
        <v>5.7799999999999997E-2</v>
      </c>
      <c r="W74">
        <v>0</v>
      </c>
      <c r="X74">
        <v>0</v>
      </c>
      <c r="Y74">
        <v>0</v>
      </c>
      <c r="Z74">
        <v>0.86</v>
      </c>
      <c r="AA74">
        <v>0.877</v>
      </c>
    </row>
    <row r="76" spans="21:27" x14ac:dyDescent="0.25">
      <c r="U76" s="22" t="s">
        <v>17</v>
      </c>
      <c r="V76" s="22"/>
      <c r="W76" s="22"/>
    </row>
    <row r="77" spans="21:27" x14ac:dyDescent="0.25">
      <c r="U77" s="7"/>
      <c r="V77" s="1" t="s">
        <v>0</v>
      </c>
      <c r="W77" s="1" t="s">
        <v>1</v>
      </c>
      <c r="X77" s="1" t="s">
        <v>5</v>
      </c>
      <c r="Y77" s="1" t="s">
        <v>7</v>
      </c>
    </row>
    <row r="78" spans="21:27" x14ac:dyDescent="0.25">
      <c r="U78" s="1" t="s">
        <v>9</v>
      </c>
      <c r="V78" s="4">
        <v>3.0299200000000002</v>
      </c>
      <c r="W78" s="4">
        <v>2.9322900000000001</v>
      </c>
      <c r="X78" s="4">
        <v>0.167689</v>
      </c>
      <c r="Y78" s="4"/>
    </row>
    <row r="79" spans="21:27" x14ac:dyDescent="0.25">
      <c r="U79" s="1" t="s">
        <v>10</v>
      </c>
      <c r="V79" s="4">
        <v>3.0076299999999998</v>
      </c>
      <c r="W79" s="4">
        <v>2.9215800000000001</v>
      </c>
      <c r="X79" s="4">
        <v>0.31413999999999997</v>
      </c>
      <c r="Y79" s="4"/>
    </row>
    <row r="80" spans="21:27" x14ac:dyDescent="0.25">
      <c r="U80" s="1" t="s">
        <v>11</v>
      </c>
      <c r="V80" s="4">
        <v>3.0062000000000002</v>
      </c>
      <c r="W80" s="4">
        <v>2.9483100000000002</v>
      </c>
      <c r="X80" s="4">
        <v>0.360707</v>
      </c>
      <c r="Y80" s="4"/>
    </row>
    <row r="81" spans="21:27" x14ac:dyDescent="0.25">
      <c r="U81" s="1" t="s">
        <v>12</v>
      </c>
      <c r="V81" s="4">
        <v>3.0301999999999998</v>
      </c>
      <c r="W81" s="4">
        <v>2.9579200000000001</v>
      </c>
      <c r="X81" s="4">
        <v>0.29751699999999998</v>
      </c>
      <c r="Y81" s="4"/>
    </row>
    <row r="82" spans="21:27" x14ac:dyDescent="0.25">
      <c r="U82" s="1" t="s">
        <v>13</v>
      </c>
      <c r="V82" s="4">
        <v>3.0230800000000002</v>
      </c>
      <c r="W82" s="4">
        <v>2.9583550000000001</v>
      </c>
      <c r="X82" s="4">
        <v>0.24713599999999999</v>
      </c>
      <c r="Y82" s="4"/>
    </row>
    <row r="83" spans="21:27" x14ac:dyDescent="0.25">
      <c r="Y83" s="4"/>
    </row>
    <row r="84" spans="21:27" x14ac:dyDescent="0.25">
      <c r="Y84" s="4"/>
    </row>
    <row r="85" spans="21:27" x14ac:dyDescent="0.25">
      <c r="Y85" s="4"/>
    </row>
    <row r="87" spans="21:27" x14ac:dyDescent="0.25">
      <c r="U87" s="12" t="s">
        <v>23</v>
      </c>
      <c r="V87" s="12"/>
      <c r="W87" s="12"/>
      <c r="X87" s="12"/>
      <c r="Y87" s="12"/>
      <c r="Z87" s="12"/>
      <c r="AA87" s="12"/>
    </row>
    <row r="88" spans="21:27" x14ac:dyDescent="0.25">
      <c r="U88" s="10" t="s">
        <v>16</v>
      </c>
      <c r="V88" s="10"/>
      <c r="W88" s="10"/>
      <c r="X88" s="10"/>
      <c r="Y88" s="10"/>
      <c r="Z88" s="10"/>
      <c r="AA88" s="10"/>
    </row>
    <row r="89" spans="21:27" x14ac:dyDescent="0.25">
      <c r="U89" s="9"/>
      <c r="V89" s="1" t="s">
        <v>1</v>
      </c>
      <c r="W89" s="1" t="s">
        <v>0</v>
      </c>
      <c r="X89" s="1" t="s">
        <v>5</v>
      </c>
    </row>
    <row r="90" spans="21:27" x14ac:dyDescent="0.25">
      <c r="U90" s="24">
        <v>2</v>
      </c>
      <c r="V90">
        <f>AVERAGE(Z5:Z9)</f>
        <v>0.14455999999999999</v>
      </c>
      <c r="W90">
        <f>AVERAGE(AA5:AA9)</f>
        <v>0.16008</v>
      </c>
      <c r="X90">
        <v>0</v>
      </c>
    </row>
    <row r="91" spans="21:27" x14ac:dyDescent="0.25">
      <c r="U91" s="1">
        <v>4</v>
      </c>
      <c r="V91">
        <f>AVERAGE(Z33:Z37)</f>
        <v>0.26247999999999999</v>
      </c>
      <c r="W91">
        <f>AVERAGE(AA33:AA37)</f>
        <v>0.27643999999999996</v>
      </c>
      <c r="X91">
        <v>0</v>
      </c>
    </row>
    <row r="92" spans="21:27" x14ac:dyDescent="0.25">
      <c r="U92" s="1">
        <v>8</v>
      </c>
      <c r="V92">
        <f>AVERAGE(Z51:Z55)</f>
        <v>0.49659999999999993</v>
      </c>
      <c r="W92">
        <f>AVERAGE(AA51:AA55)</f>
        <v>0.51260000000000006</v>
      </c>
      <c r="X92">
        <f>AVERAGE(V51:V55)</f>
        <v>6.0600000000000003E-3</v>
      </c>
    </row>
    <row r="93" spans="21:27" x14ac:dyDescent="0.25">
      <c r="U93" s="1">
        <v>16</v>
      </c>
      <c r="V93">
        <f>AVERAGE(Z70:Z74)</f>
        <v>0.85804000000000014</v>
      </c>
      <c r="W93">
        <f>AVERAGE(AA70:AA74)</f>
        <v>0.87674000000000007</v>
      </c>
      <c r="X93">
        <f>AVERAGE(V70:V74)</f>
        <v>6.1968000000000002E-2</v>
      </c>
    </row>
    <row r="96" spans="21:27" x14ac:dyDescent="0.25">
      <c r="U96" s="19" t="s">
        <v>17</v>
      </c>
      <c r="V96" s="19"/>
      <c r="W96" s="19"/>
    </row>
    <row r="97" spans="21:24" x14ac:dyDescent="0.25">
      <c r="V97" s="1" t="s">
        <v>0</v>
      </c>
      <c r="W97" s="1" t="s">
        <v>1</v>
      </c>
      <c r="X97" s="1" t="s">
        <v>5</v>
      </c>
    </row>
    <row r="98" spans="21:24" x14ac:dyDescent="0.25">
      <c r="U98" s="1">
        <v>2</v>
      </c>
      <c r="V98" s="4">
        <f>AVERAGE(V22:V26)</f>
        <v>0.163248</v>
      </c>
      <c r="W98" s="4">
        <f>AVERAGE(W22:W26)</f>
        <v>0.14726</v>
      </c>
      <c r="X98" s="4">
        <v>0</v>
      </c>
    </row>
    <row r="99" spans="21:24" x14ac:dyDescent="0.25">
      <c r="U99" s="1">
        <v>4</v>
      </c>
      <c r="V99" s="4">
        <f>AVERAGE(V41:V45)</f>
        <v>0.28891600000000001</v>
      </c>
      <c r="W99" s="4">
        <f>AVERAGE(W41:W45)</f>
        <v>0.285495</v>
      </c>
      <c r="X99" s="4">
        <v>0</v>
      </c>
    </row>
    <row r="100" spans="21:24" x14ac:dyDescent="0.25">
      <c r="U100" s="1">
        <v>8</v>
      </c>
      <c r="V100" s="4">
        <f>AVERAGE(V59:V63)</f>
        <v>0.72233400000000003</v>
      </c>
      <c r="W100" s="4">
        <f>AVERAGE(W59:W63)</f>
        <v>0.69786200000000009</v>
      </c>
      <c r="X100" s="4">
        <f>AVERAGE(X59:X63)</f>
        <v>1.8927999999999997E-2</v>
      </c>
    </row>
    <row r="101" spans="21:24" x14ac:dyDescent="0.25">
      <c r="U101" s="1">
        <v>16</v>
      </c>
      <c r="V101" s="4">
        <f>AVERAGE(V78:V82)</f>
        <v>3.019406</v>
      </c>
      <c r="W101" s="4">
        <f>AVERAGE(W78:W82)</f>
        <v>2.9436909999999998</v>
      </c>
      <c r="X101" s="4">
        <f>AVERAGE(X78:X82)</f>
        <v>0.27743780000000001</v>
      </c>
    </row>
  </sheetData>
  <mergeCells count="47">
    <mergeCell ref="AE27:AK27"/>
    <mergeCell ref="AE38:AK38"/>
    <mergeCell ref="AE39:AK39"/>
    <mergeCell ref="AE49:AK49"/>
    <mergeCell ref="AE1:AK1"/>
    <mergeCell ref="U76:W76"/>
    <mergeCell ref="U87:AA87"/>
    <mergeCell ref="U88:AA88"/>
    <mergeCell ref="U96:W96"/>
    <mergeCell ref="U1:AA1"/>
    <mergeCell ref="AE2:AK2"/>
    <mergeCell ref="AE3:AK3"/>
    <mergeCell ref="AE12:AK12"/>
    <mergeCell ref="AE13:AK13"/>
    <mergeCell ref="AE26:AK26"/>
    <mergeCell ref="U39:W39"/>
    <mergeCell ref="U48:AA48"/>
    <mergeCell ref="U49:AA49"/>
    <mergeCell ref="U57:W57"/>
    <mergeCell ref="U67:AA67"/>
    <mergeCell ref="U68:AA68"/>
    <mergeCell ref="K33:Q33"/>
    <mergeCell ref="K34:Q34"/>
    <mergeCell ref="K54:Q54"/>
    <mergeCell ref="K1:Q1"/>
    <mergeCell ref="U2:AA2"/>
    <mergeCell ref="U3:AA3"/>
    <mergeCell ref="U12:W12"/>
    <mergeCell ref="U20:W20"/>
    <mergeCell ref="U30:AA30"/>
    <mergeCell ref="U31:AA31"/>
    <mergeCell ref="A36:G36"/>
    <mergeCell ref="A37:G37"/>
    <mergeCell ref="A48:G48"/>
    <mergeCell ref="A1:G1"/>
    <mergeCell ref="K2:Q2"/>
    <mergeCell ref="K3:Q3"/>
    <mergeCell ref="K12:Q12"/>
    <mergeCell ref="K13:Q13"/>
    <mergeCell ref="K22:Q22"/>
    <mergeCell ref="K23:Q23"/>
    <mergeCell ref="A3:G3"/>
    <mergeCell ref="A4:G4"/>
    <mergeCell ref="A14:G14"/>
    <mergeCell ref="A15:G15"/>
    <mergeCell ref="A25:G25"/>
    <mergeCell ref="A26:G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03C1-4AD2-45F2-83FE-4DFE514FD75C}">
  <dimension ref="A1:AK101"/>
  <sheetViews>
    <sheetView topLeftCell="L55" workbookViewId="0">
      <selection activeCell="AI75" sqref="AI75"/>
    </sheetView>
  </sheetViews>
  <sheetFormatPr defaultRowHeight="15" x14ac:dyDescent="0.25"/>
  <sheetData>
    <row r="1" spans="1:37" x14ac:dyDescent="0.25">
      <c r="A1" s="18" t="s">
        <v>4</v>
      </c>
      <c r="B1" s="18"/>
      <c r="C1" s="18"/>
      <c r="D1" s="18"/>
      <c r="E1" s="18"/>
      <c r="F1" s="18"/>
      <c r="G1" s="18"/>
      <c r="K1" s="18" t="s">
        <v>52</v>
      </c>
      <c r="L1" s="18"/>
      <c r="M1" s="18"/>
      <c r="N1" s="18"/>
      <c r="O1" s="18"/>
      <c r="P1" s="18"/>
      <c r="Q1" s="18"/>
      <c r="U1" s="18" t="s">
        <v>16</v>
      </c>
      <c r="V1" s="18"/>
      <c r="W1" s="18"/>
      <c r="X1" s="18"/>
      <c r="Y1" s="18"/>
      <c r="Z1" s="18"/>
      <c r="AA1" s="18"/>
      <c r="AE1" s="18" t="s">
        <v>27</v>
      </c>
      <c r="AF1" s="18"/>
      <c r="AG1" s="18"/>
      <c r="AH1" s="18"/>
      <c r="AI1" s="18"/>
      <c r="AJ1" s="18"/>
      <c r="AK1" s="18"/>
    </row>
    <row r="2" spans="1:37" x14ac:dyDescent="0.25">
      <c r="A2" s="11" t="s">
        <v>48</v>
      </c>
      <c r="B2" s="11"/>
      <c r="C2" s="11"/>
      <c r="D2" s="11"/>
      <c r="E2" s="11"/>
      <c r="F2" s="11"/>
      <c r="G2" s="11"/>
      <c r="K2" s="11" t="s">
        <v>48</v>
      </c>
      <c r="L2" s="11"/>
      <c r="M2" s="11"/>
      <c r="N2" s="11"/>
      <c r="O2" s="11"/>
      <c r="P2" s="11"/>
      <c r="Q2" s="11"/>
      <c r="U2" s="11" t="s">
        <v>40</v>
      </c>
      <c r="V2" s="11"/>
      <c r="W2" s="11"/>
      <c r="X2" s="11"/>
      <c r="Y2" s="11"/>
      <c r="Z2" s="11"/>
      <c r="AA2" s="11"/>
      <c r="AE2" s="11" t="s">
        <v>48</v>
      </c>
      <c r="AF2" s="11"/>
      <c r="AG2" s="11"/>
      <c r="AH2" s="11"/>
      <c r="AI2" s="11"/>
      <c r="AJ2" s="11"/>
      <c r="AK2" s="11"/>
    </row>
    <row r="3" spans="1:37" x14ac:dyDescent="0.25">
      <c r="A3" s="10" t="s">
        <v>4</v>
      </c>
      <c r="B3" s="10"/>
      <c r="C3" s="10"/>
      <c r="D3" s="10"/>
      <c r="E3" s="10"/>
      <c r="F3" s="10"/>
      <c r="G3" s="10"/>
      <c r="K3" s="10" t="s">
        <v>45</v>
      </c>
      <c r="L3" s="10"/>
      <c r="M3" s="10"/>
      <c r="N3" s="10"/>
      <c r="O3" s="10"/>
      <c r="P3" s="10"/>
      <c r="Q3" s="10"/>
      <c r="U3" s="10" t="s">
        <v>16</v>
      </c>
      <c r="V3" s="10"/>
      <c r="W3" s="10"/>
      <c r="X3" s="10"/>
      <c r="Y3" s="10"/>
      <c r="Z3" s="10"/>
      <c r="AA3" s="10"/>
      <c r="AE3" s="25" t="s">
        <v>47</v>
      </c>
      <c r="AF3" s="26"/>
      <c r="AG3" s="26"/>
      <c r="AH3" s="26"/>
      <c r="AI3" s="26"/>
      <c r="AJ3" s="26"/>
      <c r="AK3" s="27"/>
    </row>
    <row r="4" spans="1:37" ht="105" x14ac:dyDescent="0.25">
      <c r="A4" s="5"/>
      <c r="B4" s="1" t="s">
        <v>5</v>
      </c>
      <c r="C4" s="6" t="s">
        <v>6</v>
      </c>
      <c r="D4" s="1" t="s">
        <v>7</v>
      </c>
      <c r="E4" s="6" t="s">
        <v>8</v>
      </c>
      <c r="F4" s="1" t="s">
        <v>1</v>
      </c>
      <c r="G4" s="1" t="s">
        <v>0</v>
      </c>
      <c r="K4" s="5"/>
      <c r="L4" s="1" t="s">
        <v>5</v>
      </c>
      <c r="M4" s="6" t="s">
        <v>6</v>
      </c>
      <c r="N4" s="1" t="s">
        <v>7</v>
      </c>
      <c r="O4" s="6" t="s">
        <v>8</v>
      </c>
      <c r="P4" s="1" t="s">
        <v>1</v>
      </c>
      <c r="Q4" s="1" t="s">
        <v>0</v>
      </c>
      <c r="U4" s="5"/>
      <c r="V4" s="1" t="s">
        <v>5</v>
      </c>
      <c r="W4" s="6" t="s">
        <v>6</v>
      </c>
      <c r="X4" s="1" t="s">
        <v>7</v>
      </c>
      <c r="Y4" s="6" t="s">
        <v>8</v>
      </c>
      <c r="Z4" s="1" t="s">
        <v>1</v>
      </c>
      <c r="AA4" s="1" t="s">
        <v>0</v>
      </c>
      <c r="AE4" s="28"/>
      <c r="AF4" s="6" t="s">
        <v>5</v>
      </c>
      <c r="AG4" s="6" t="s">
        <v>6</v>
      </c>
      <c r="AH4" s="6" t="s">
        <v>7</v>
      </c>
      <c r="AI4" s="6" t="s">
        <v>8</v>
      </c>
      <c r="AJ4" s="6" t="s">
        <v>1</v>
      </c>
      <c r="AK4" s="6" t="s">
        <v>0</v>
      </c>
    </row>
    <row r="5" spans="1:37" x14ac:dyDescent="0.25">
      <c r="A5" s="1" t="s">
        <v>9</v>
      </c>
      <c r="B5">
        <v>542</v>
      </c>
      <c r="C5">
        <v>930</v>
      </c>
      <c r="D5">
        <v>2519</v>
      </c>
      <c r="E5">
        <v>2470</v>
      </c>
      <c r="F5">
        <v>166</v>
      </c>
      <c r="G5">
        <v>138</v>
      </c>
      <c r="K5" s="1" t="s">
        <v>9</v>
      </c>
      <c r="L5">
        <v>8.3290000000000006</v>
      </c>
      <c r="M5">
        <v>7.5039999999999996</v>
      </c>
      <c r="N5">
        <v>3.9249999999999998</v>
      </c>
      <c r="O5">
        <v>0.79400000000000004</v>
      </c>
      <c r="P5">
        <v>1.9279999999999999</v>
      </c>
      <c r="Q5">
        <v>1.4690000000000001</v>
      </c>
      <c r="U5" s="1" t="s">
        <v>9</v>
      </c>
      <c r="V5">
        <v>0</v>
      </c>
      <c r="W5">
        <v>0</v>
      </c>
      <c r="X5">
        <v>0</v>
      </c>
      <c r="Y5">
        <v>0</v>
      </c>
      <c r="Z5">
        <v>0.14230000000000001</v>
      </c>
      <c r="AA5">
        <v>0.13700000000000001</v>
      </c>
      <c r="AE5" s="6" t="s">
        <v>9</v>
      </c>
      <c r="AF5" s="29">
        <v>1</v>
      </c>
      <c r="AG5" s="29">
        <v>1</v>
      </c>
      <c r="AH5" s="29">
        <v>109</v>
      </c>
      <c r="AI5" s="29">
        <v>100</v>
      </c>
      <c r="AJ5" s="29">
        <v>2</v>
      </c>
      <c r="AK5" s="29">
        <v>2</v>
      </c>
    </row>
    <row r="6" spans="1:37" x14ac:dyDescent="0.25">
      <c r="A6" s="1" t="s">
        <v>10</v>
      </c>
      <c r="B6">
        <v>936</v>
      </c>
      <c r="C6">
        <v>979</v>
      </c>
      <c r="D6">
        <v>1859</v>
      </c>
      <c r="E6">
        <v>1692</v>
      </c>
      <c r="F6">
        <v>153</v>
      </c>
      <c r="G6">
        <v>139</v>
      </c>
      <c r="K6" s="1" t="s">
        <v>10</v>
      </c>
      <c r="L6">
        <v>8.2430000000000003</v>
      </c>
      <c r="M6">
        <v>9.1219999999999999</v>
      </c>
      <c r="N6">
        <v>4.3819999999999997</v>
      </c>
      <c r="O6">
        <v>0.86799999999999999</v>
      </c>
      <c r="P6">
        <v>1.335</v>
      </c>
      <c r="Q6">
        <v>0.70499999999999996</v>
      </c>
      <c r="U6" s="1" t="s">
        <v>10</v>
      </c>
      <c r="V6">
        <v>0</v>
      </c>
      <c r="W6">
        <v>0</v>
      </c>
      <c r="X6">
        <v>0</v>
      </c>
      <c r="Z6">
        <v>0.14699999999999999</v>
      </c>
      <c r="AA6">
        <v>0.13100000000000001</v>
      </c>
      <c r="AE6" s="6" t="s">
        <v>10</v>
      </c>
      <c r="AF6" s="29">
        <v>1</v>
      </c>
      <c r="AG6" s="29">
        <v>1</v>
      </c>
      <c r="AH6" s="29">
        <v>64</v>
      </c>
      <c r="AI6" s="29">
        <v>73</v>
      </c>
      <c r="AJ6" s="29">
        <v>2</v>
      </c>
      <c r="AK6" s="29">
        <v>2</v>
      </c>
    </row>
    <row r="7" spans="1:37" x14ac:dyDescent="0.25">
      <c r="A7" s="1" t="s">
        <v>11</v>
      </c>
      <c r="B7">
        <v>672</v>
      </c>
      <c r="C7">
        <v>1391</v>
      </c>
      <c r="D7">
        <v>2181</v>
      </c>
      <c r="E7">
        <v>1835</v>
      </c>
      <c r="F7">
        <v>185</v>
      </c>
      <c r="G7">
        <v>138</v>
      </c>
      <c r="K7" s="1" t="s">
        <v>11</v>
      </c>
      <c r="L7">
        <v>8.6890000000000001</v>
      </c>
      <c r="M7">
        <v>6.8959999999999999</v>
      </c>
      <c r="N7">
        <v>4.1840000000000002</v>
      </c>
      <c r="O7">
        <v>0.92100000000000004</v>
      </c>
      <c r="P7">
        <v>1.387</v>
      </c>
      <c r="Q7">
        <v>0.76400000000000001</v>
      </c>
      <c r="U7" s="1" t="s">
        <v>11</v>
      </c>
      <c r="V7">
        <v>0</v>
      </c>
      <c r="W7">
        <v>0</v>
      </c>
      <c r="X7">
        <v>0</v>
      </c>
      <c r="Z7">
        <v>0.13850000000000001</v>
      </c>
      <c r="AA7">
        <v>0.124</v>
      </c>
      <c r="AE7" s="6" t="s">
        <v>11</v>
      </c>
      <c r="AF7" s="29">
        <v>1</v>
      </c>
      <c r="AG7" s="29">
        <v>1</v>
      </c>
      <c r="AH7" s="29">
        <v>72</v>
      </c>
      <c r="AI7" s="29">
        <v>60</v>
      </c>
      <c r="AJ7" s="29">
        <v>2</v>
      </c>
      <c r="AK7" s="29">
        <v>2</v>
      </c>
    </row>
    <row r="8" spans="1:37" x14ac:dyDescent="0.25">
      <c r="A8" s="1" t="s">
        <v>12</v>
      </c>
      <c r="B8">
        <v>1078</v>
      </c>
      <c r="C8">
        <v>457</v>
      </c>
      <c r="D8">
        <v>1722</v>
      </c>
      <c r="E8">
        <v>2114</v>
      </c>
      <c r="F8">
        <v>170</v>
      </c>
      <c r="G8">
        <v>139</v>
      </c>
      <c r="K8" s="1" t="s">
        <v>12</v>
      </c>
      <c r="L8">
        <v>7.58</v>
      </c>
      <c r="M8">
        <v>9.02</v>
      </c>
      <c r="N8">
        <v>4.5490000000000004</v>
      </c>
      <c r="O8">
        <v>0.92700000000000005</v>
      </c>
      <c r="P8">
        <v>1.4239999999999999</v>
      </c>
      <c r="Q8">
        <v>1.0149999999999999</v>
      </c>
      <c r="U8" s="1" t="s">
        <v>12</v>
      </c>
      <c r="V8">
        <v>0</v>
      </c>
      <c r="W8">
        <v>0</v>
      </c>
      <c r="X8">
        <v>0</v>
      </c>
      <c r="Z8">
        <v>0.13900000000000001</v>
      </c>
      <c r="AA8">
        <v>0.127</v>
      </c>
      <c r="AE8" s="6" t="s">
        <v>12</v>
      </c>
      <c r="AF8" s="29">
        <v>1</v>
      </c>
      <c r="AG8" s="29">
        <v>1</v>
      </c>
      <c r="AH8" s="29">
        <v>38</v>
      </c>
      <c r="AI8" s="29">
        <v>62</v>
      </c>
      <c r="AJ8" s="29">
        <v>2</v>
      </c>
      <c r="AK8" s="29">
        <v>2</v>
      </c>
    </row>
    <row r="9" spans="1:37" x14ac:dyDescent="0.25">
      <c r="A9" s="1" t="s">
        <v>13</v>
      </c>
      <c r="B9">
        <v>536</v>
      </c>
      <c r="C9">
        <v>862</v>
      </c>
      <c r="D9">
        <v>2390</v>
      </c>
      <c r="E9">
        <v>2533</v>
      </c>
      <c r="F9">
        <v>163</v>
      </c>
      <c r="G9">
        <v>138</v>
      </c>
      <c r="K9" s="1" t="s">
        <v>13</v>
      </c>
      <c r="L9">
        <v>7.9509999999999996</v>
      </c>
      <c r="M9">
        <v>8.6210000000000004</v>
      </c>
      <c r="N9">
        <v>3.9910000000000001</v>
      </c>
      <c r="O9">
        <v>0.89400000000000002</v>
      </c>
      <c r="P9">
        <v>1.3069999999999999</v>
      </c>
      <c r="Q9">
        <v>0.98899999999999999</v>
      </c>
      <c r="U9" s="1" t="s">
        <v>13</v>
      </c>
      <c r="V9">
        <v>0</v>
      </c>
      <c r="W9">
        <v>0</v>
      </c>
      <c r="X9">
        <v>0</v>
      </c>
      <c r="Z9">
        <v>0.14219999999999999</v>
      </c>
      <c r="AA9">
        <v>0.125</v>
      </c>
      <c r="AE9" s="6" t="s">
        <v>13</v>
      </c>
      <c r="AF9" s="29">
        <v>1</v>
      </c>
      <c r="AG9" s="29">
        <v>1</v>
      </c>
      <c r="AH9" s="29">
        <v>73</v>
      </c>
      <c r="AI9" s="29">
        <v>97</v>
      </c>
      <c r="AJ9" s="29">
        <v>2</v>
      </c>
      <c r="AK9" s="29">
        <v>2</v>
      </c>
    </row>
    <row r="12" spans="1:37" x14ac:dyDescent="0.25">
      <c r="A12" s="11" t="s">
        <v>49</v>
      </c>
      <c r="B12" s="11"/>
      <c r="C12" s="11"/>
      <c r="D12" s="11"/>
      <c r="E12" s="11"/>
      <c r="F12" s="11"/>
      <c r="G12" s="11"/>
      <c r="K12" s="11" t="s">
        <v>49</v>
      </c>
      <c r="L12" s="11"/>
      <c r="M12" s="11"/>
      <c r="N12" s="11"/>
      <c r="O12" s="11"/>
      <c r="P12" s="11"/>
      <c r="Q12" s="11"/>
      <c r="U12" s="17" t="s">
        <v>46</v>
      </c>
      <c r="V12" s="17"/>
      <c r="W12" s="17"/>
      <c r="AE12" s="11" t="s">
        <v>53</v>
      </c>
      <c r="AF12" s="11"/>
      <c r="AG12" s="11"/>
      <c r="AH12" s="11"/>
      <c r="AI12" s="11"/>
      <c r="AJ12" s="11"/>
      <c r="AK12" s="11"/>
    </row>
    <row r="13" spans="1:37" x14ac:dyDescent="0.25">
      <c r="A13" s="10" t="s">
        <v>4</v>
      </c>
      <c r="B13" s="10"/>
      <c r="C13" s="10"/>
      <c r="D13" s="10"/>
      <c r="E13" s="10"/>
      <c r="F13" s="10"/>
      <c r="G13" s="10"/>
      <c r="K13" s="10" t="s">
        <v>45</v>
      </c>
      <c r="L13" s="10"/>
      <c r="M13" s="10"/>
      <c r="N13" s="10"/>
      <c r="O13" s="10"/>
      <c r="P13" s="10"/>
      <c r="Q13" s="10"/>
      <c r="V13" s="1" t="s">
        <v>0</v>
      </c>
      <c r="W13" s="1" t="s">
        <v>1</v>
      </c>
      <c r="AE13" s="25" t="s">
        <v>47</v>
      </c>
      <c r="AF13" s="26"/>
      <c r="AG13" s="26"/>
      <c r="AH13" s="26"/>
      <c r="AI13" s="26"/>
      <c r="AJ13" s="26"/>
      <c r="AK13" s="27"/>
    </row>
    <row r="14" spans="1:37" ht="105" x14ac:dyDescent="0.25">
      <c r="A14" s="5"/>
      <c r="B14" s="1" t="s">
        <v>5</v>
      </c>
      <c r="C14" s="6" t="s">
        <v>6</v>
      </c>
      <c r="D14" s="1" t="s">
        <v>7</v>
      </c>
      <c r="E14" s="6" t="s">
        <v>8</v>
      </c>
      <c r="F14" s="1" t="s">
        <v>1</v>
      </c>
      <c r="G14" s="1" t="s">
        <v>0</v>
      </c>
      <c r="K14" s="5"/>
      <c r="L14" s="1" t="s">
        <v>5</v>
      </c>
      <c r="M14" s="6" t="s">
        <v>6</v>
      </c>
      <c r="N14" s="1" t="s">
        <v>7</v>
      </c>
      <c r="O14" s="6" t="s">
        <v>8</v>
      </c>
      <c r="P14" s="1" t="s">
        <v>1</v>
      </c>
      <c r="Q14" s="1" t="s">
        <v>0</v>
      </c>
      <c r="U14" s="1" t="s">
        <v>9</v>
      </c>
      <c r="V14" s="21">
        <v>1</v>
      </c>
      <c r="W14" s="21">
        <v>1</v>
      </c>
      <c r="AE14" s="5"/>
      <c r="AF14" s="1" t="s">
        <v>5</v>
      </c>
      <c r="AG14" s="6" t="s">
        <v>6</v>
      </c>
      <c r="AH14" s="1" t="s">
        <v>7</v>
      </c>
      <c r="AI14" s="6" t="s">
        <v>8</v>
      </c>
      <c r="AJ14" s="1" t="s">
        <v>1</v>
      </c>
      <c r="AK14" s="1" t="s">
        <v>0</v>
      </c>
    </row>
    <row r="15" spans="1:37" x14ac:dyDescent="0.25">
      <c r="A15" s="1" t="s">
        <v>9</v>
      </c>
      <c r="B15">
        <v>3117</v>
      </c>
      <c r="C15">
        <v>1686</v>
      </c>
      <c r="D15">
        <v>2840</v>
      </c>
      <c r="E15">
        <v>2952</v>
      </c>
      <c r="F15">
        <v>357</v>
      </c>
      <c r="G15">
        <v>350</v>
      </c>
      <c r="K15" s="1" t="s">
        <v>9</v>
      </c>
      <c r="L15">
        <v>41.652000000000001</v>
      </c>
      <c r="M15">
        <v>40.526000000000003</v>
      </c>
      <c r="N15">
        <v>2.3820000000000001</v>
      </c>
      <c r="O15">
        <v>1.0840000000000001</v>
      </c>
      <c r="P15">
        <v>2.3490000000000002</v>
      </c>
      <c r="Q15">
        <v>1.357</v>
      </c>
      <c r="U15" s="1" t="s">
        <v>10</v>
      </c>
      <c r="V15" s="21">
        <v>1</v>
      </c>
      <c r="W15" s="21">
        <v>1</v>
      </c>
      <c r="AE15" s="1" t="s">
        <v>9</v>
      </c>
      <c r="AF15">
        <v>99</v>
      </c>
      <c r="AG15">
        <v>1</v>
      </c>
      <c r="AH15">
        <v>72</v>
      </c>
      <c r="AI15">
        <v>103</v>
      </c>
      <c r="AJ15">
        <v>1</v>
      </c>
      <c r="AK15">
        <v>1</v>
      </c>
    </row>
    <row r="16" spans="1:37" x14ac:dyDescent="0.25">
      <c r="A16" s="1" t="s">
        <v>10</v>
      </c>
      <c r="B16">
        <v>2755</v>
      </c>
      <c r="C16">
        <v>1449</v>
      </c>
      <c r="D16">
        <v>3045</v>
      </c>
      <c r="E16">
        <v>2366</v>
      </c>
      <c r="F16">
        <v>394</v>
      </c>
      <c r="G16">
        <v>343</v>
      </c>
      <c r="K16" s="1" t="s">
        <v>10</v>
      </c>
      <c r="L16">
        <v>47.238</v>
      </c>
      <c r="M16">
        <v>39.264000000000003</v>
      </c>
      <c r="N16">
        <v>3.8490000000000002</v>
      </c>
      <c r="O16">
        <v>1.339</v>
      </c>
      <c r="P16">
        <v>2.0659999999999998</v>
      </c>
      <c r="Q16">
        <v>0.9</v>
      </c>
      <c r="U16" s="1" t="s">
        <v>11</v>
      </c>
      <c r="V16" s="21">
        <v>0.75</v>
      </c>
      <c r="W16" s="21">
        <v>1</v>
      </c>
      <c r="AE16" s="1" t="s">
        <v>10</v>
      </c>
      <c r="AF16">
        <v>103</v>
      </c>
      <c r="AG16">
        <v>1</v>
      </c>
      <c r="AH16">
        <v>94</v>
      </c>
      <c r="AI16">
        <v>64</v>
      </c>
      <c r="AJ16">
        <v>1</v>
      </c>
      <c r="AK16">
        <v>1</v>
      </c>
    </row>
    <row r="17" spans="1:37" x14ac:dyDescent="0.25">
      <c r="A17" s="1" t="s">
        <v>11</v>
      </c>
      <c r="B17">
        <v>3901</v>
      </c>
      <c r="C17">
        <v>1301</v>
      </c>
      <c r="D17">
        <v>2726</v>
      </c>
      <c r="E17">
        <v>2272</v>
      </c>
      <c r="F17">
        <v>419</v>
      </c>
      <c r="G17">
        <v>342</v>
      </c>
      <c r="K17" s="1" t="s">
        <v>11</v>
      </c>
      <c r="L17">
        <v>37.552999999999997</v>
      </c>
      <c r="M17">
        <v>38.283999999999999</v>
      </c>
      <c r="N17">
        <v>2.117</v>
      </c>
      <c r="O17">
        <v>1.2410000000000001</v>
      </c>
      <c r="P17">
        <v>2.0070000000000001</v>
      </c>
      <c r="Q17">
        <v>0.93899999999999995</v>
      </c>
      <c r="U17" s="1" t="s">
        <v>12</v>
      </c>
      <c r="V17" s="21">
        <v>1</v>
      </c>
      <c r="W17" s="21">
        <v>1</v>
      </c>
      <c r="AE17" s="1" t="s">
        <v>11</v>
      </c>
      <c r="AF17">
        <v>224</v>
      </c>
      <c r="AG17">
        <v>1</v>
      </c>
      <c r="AH17">
        <v>83</v>
      </c>
      <c r="AI17">
        <v>76</v>
      </c>
      <c r="AJ17">
        <v>1</v>
      </c>
      <c r="AK17">
        <v>1</v>
      </c>
    </row>
    <row r="18" spans="1:37" x14ac:dyDescent="0.25">
      <c r="A18" s="1" t="s">
        <v>12</v>
      </c>
      <c r="B18">
        <v>2026</v>
      </c>
      <c r="C18">
        <v>1499</v>
      </c>
      <c r="D18">
        <v>2562</v>
      </c>
      <c r="E18">
        <v>3095</v>
      </c>
      <c r="F18">
        <v>375</v>
      </c>
      <c r="G18">
        <v>340</v>
      </c>
      <c r="K18" s="1" t="s">
        <v>12</v>
      </c>
      <c r="L18">
        <v>40.277999999999999</v>
      </c>
      <c r="M18">
        <v>39.789000000000001</v>
      </c>
      <c r="N18">
        <v>4.0270000000000001</v>
      </c>
      <c r="O18">
        <v>1.3</v>
      </c>
      <c r="P18">
        <v>1.931</v>
      </c>
      <c r="Q18">
        <v>0.92900000000000005</v>
      </c>
      <c r="U18" s="1" t="s">
        <v>13</v>
      </c>
      <c r="V18" s="21">
        <v>1</v>
      </c>
      <c r="W18" s="21">
        <v>1</v>
      </c>
      <c r="AE18" s="1" t="s">
        <v>12</v>
      </c>
      <c r="AF18">
        <v>28</v>
      </c>
      <c r="AG18">
        <v>1</v>
      </c>
      <c r="AH18">
        <v>116</v>
      </c>
      <c r="AI18">
        <v>93</v>
      </c>
      <c r="AJ18">
        <v>1</v>
      </c>
      <c r="AK18">
        <v>1</v>
      </c>
    </row>
    <row r="19" spans="1:37" x14ac:dyDescent="0.25">
      <c r="A19" s="1" t="s">
        <v>13</v>
      </c>
      <c r="B19">
        <v>967</v>
      </c>
      <c r="C19">
        <v>1641</v>
      </c>
      <c r="D19">
        <v>2970</v>
      </c>
      <c r="E19">
        <v>3007</v>
      </c>
      <c r="F19">
        <v>440</v>
      </c>
      <c r="G19">
        <v>351</v>
      </c>
      <c r="K19" s="1" t="s">
        <v>13</v>
      </c>
      <c r="L19">
        <v>40.090000000000003</v>
      </c>
      <c r="M19">
        <v>37.628999999999998</v>
      </c>
      <c r="N19">
        <v>2.7509999999999999</v>
      </c>
      <c r="O19">
        <v>1.2090000000000001</v>
      </c>
      <c r="P19">
        <v>2.0790000000000002</v>
      </c>
      <c r="Q19">
        <v>1.157</v>
      </c>
      <c r="AE19" s="1" t="s">
        <v>13</v>
      </c>
      <c r="AF19">
        <v>1</v>
      </c>
      <c r="AG19">
        <v>1</v>
      </c>
      <c r="AH19">
        <v>118</v>
      </c>
      <c r="AI19">
        <v>111</v>
      </c>
      <c r="AJ19">
        <v>1</v>
      </c>
      <c r="AK19">
        <v>1</v>
      </c>
    </row>
    <row r="20" spans="1:37" x14ac:dyDescent="0.25">
      <c r="U20" s="22" t="s">
        <v>17</v>
      </c>
      <c r="V20" s="22"/>
      <c r="W20" s="22"/>
    </row>
    <row r="21" spans="1:37" x14ac:dyDescent="0.25">
      <c r="U21" s="7"/>
      <c r="V21" s="1" t="s">
        <v>0</v>
      </c>
      <c r="W21" s="1" t="s">
        <v>1</v>
      </c>
    </row>
    <row r="22" spans="1:37" x14ac:dyDescent="0.25">
      <c r="K22" s="11" t="s">
        <v>50</v>
      </c>
      <c r="L22" s="11"/>
      <c r="M22" s="11"/>
      <c r="N22" s="11"/>
      <c r="O22" s="11"/>
      <c r="P22" s="11"/>
      <c r="Q22" s="11"/>
      <c r="U22" s="1" t="s">
        <v>9</v>
      </c>
      <c r="V22" s="4">
        <v>0.13988999999999999</v>
      </c>
      <c r="W22" s="4">
        <v>0.14484</v>
      </c>
    </row>
    <row r="23" spans="1:37" x14ac:dyDescent="0.25">
      <c r="A23" s="11" t="s">
        <v>50</v>
      </c>
      <c r="B23" s="11"/>
      <c r="C23" s="11"/>
      <c r="D23" s="11"/>
      <c r="E23" s="11"/>
      <c r="F23" s="11"/>
      <c r="G23" s="11"/>
      <c r="K23" s="10" t="s">
        <v>45</v>
      </c>
      <c r="L23" s="10"/>
      <c r="M23" s="10"/>
      <c r="N23" s="10"/>
      <c r="O23" s="10"/>
      <c r="P23" s="10"/>
      <c r="Q23" s="10"/>
      <c r="U23" s="1" t="s">
        <v>10</v>
      </c>
      <c r="V23" s="4">
        <v>0.13389000000000001</v>
      </c>
      <c r="W23" s="4">
        <v>0.14967</v>
      </c>
    </row>
    <row r="24" spans="1:37" ht="105" x14ac:dyDescent="0.25">
      <c r="A24" s="10" t="s">
        <v>4</v>
      </c>
      <c r="B24" s="10"/>
      <c r="C24" s="10"/>
      <c r="D24" s="10"/>
      <c r="E24" s="10"/>
      <c r="F24" s="10"/>
      <c r="G24" s="10"/>
      <c r="K24" s="5"/>
      <c r="L24" s="1" t="s">
        <v>5</v>
      </c>
      <c r="M24" s="6" t="s">
        <v>6</v>
      </c>
      <c r="N24" s="1" t="s">
        <v>7</v>
      </c>
      <c r="O24" s="6" t="s">
        <v>8</v>
      </c>
      <c r="P24" s="1" t="s">
        <v>1</v>
      </c>
      <c r="Q24" s="1" t="s">
        <v>0</v>
      </c>
      <c r="U24" s="1" t="s">
        <v>11</v>
      </c>
      <c r="V24" s="4">
        <v>0.14093</v>
      </c>
      <c r="W24" s="4">
        <v>0.14093</v>
      </c>
    </row>
    <row r="25" spans="1:37" ht="105" x14ac:dyDescent="0.25">
      <c r="A25" s="5"/>
      <c r="B25" s="1" t="s">
        <v>5</v>
      </c>
      <c r="C25" s="6" t="s">
        <v>6</v>
      </c>
      <c r="D25" s="1" t="s">
        <v>7</v>
      </c>
      <c r="E25" s="6" t="s">
        <v>8</v>
      </c>
      <c r="F25" s="1" t="s">
        <v>1</v>
      </c>
      <c r="G25" s="1" t="s">
        <v>0</v>
      </c>
      <c r="K25" s="1" t="s">
        <v>9</v>
      </c>
      <c r="L25">
        <v>60.987000000000002</v>
      </c>
      <c r="M25">
        <v>56.573999999999998</v>
      </c>
      <c r="N25">
        <v>4.181</v>
      </c>
      <c r="O25">
        <v>1.1080000000000001</v>
      </c>
      <c r="P25">
        <v>1.9259999999999999</v>
      </c>
      <c r="Q25">
        <v>0.85599999999999998</v>
      </c>
      <c r="U25" s="1" t="s">
        <v>12</v>
      </c>
      <c r="V25" s="4">
        <v>0.13011</v>
      </c>
      <c r="W25" s="4">
        <v>0.1421</v>
      </c>
    </row>
    <row r="26" spans="1:37" x14ac:dyDescent="0.25">
      <c r="A26" s="1" t="s">
        <v>9</v>
      </c>
      <c r="B26">
        <v>5782</v>
      </c>
      <c r="C26">
        <v>2000</v>
      </c>
      <c r="D26">
        <v>3170</v>
      </c>
      <c r="E26">
        <v>3405</v>
      </c>
      <c r="F26">
        <v>701</v>
      </c>
      <c r="G26">
        <v>604</v>
      </c>
      <c r="K26" s="1" t="s">
        <v>10</v>
      </c>
      <c r="L26">
        <v>51.774000000000001</v>
      </c>
      <c r="M26">
        <v>55.954000000000001</v>
      </c>
      <c r="N26">
        <v>2.726</v>
      </c>
      <c r="O26">
        <v>1.173</v>
      </c>
      <c r="P26">
        <v>2.0960000000000001</v>
      </c>
      <c r="Q26">
        <v>1.1639999999999999</v>
      </c>
      <c r="U26" s="1" t="s">
        <v>13</v>
      </c>
      <c r="V26" s="4">
        <v>0.12767000000000001</v>
      </c>
      <c r="W26" s="4">
        <v>0.14471000000000001</v>
      </c>
      <c r="AE26" s="11" t="s">
        <v>50</v>
      </c>
      <c r="AF26" s="11"/>
      <c r="AG26" s="11"/>
      <c r="AH26" s="11"/>
      <c r="AI26" s="11"/>
      <c r="AJ26" s="11"/>
      <c r="AK26" s="11"/>
    </row>
    <row r="27" spans="1:37" x14ac:dyDescent="0.25">
      <c r="A27" s="1" t="s">
        <v>10</v>
      </c>
      <c r="B27">
        <v>3091</v>
      </c>
      <c r="C27">
        <v>2137</v>
      </c>
      <c r="D27">
        <v>3647</v>
      </c>
      <c r="E27">
        <v>3497</v>
      </c>
      <c r="F27">
        <v>605</v>
      </c>
      <c r="G27">
        <v>586</v>
      </c>
      <c r="K27" s="1" t="s">
        <v>11</v>
      </c>
      <c r="L27">
        <v>55.841999999999999</v>
      </c>
      <c r="M27">
        <v>45.914000000000001</v>
      </c>
      <c r="N27">
        <v>5.5640000000000001</v>
      </c>
      <c r="O27">
        <v>1.1850000000000001</v>
      </c>
      <c r="P27">
        <v>2.262</v>
      </c>
      <c r="Q27">
        <v>1.304</v>
      </c>
      <c r="AE27" s="25" t="s">
        <v>47</v>
      </c>
      <c r="AF27" s="26"/>
      <c r="AG27" s="26"/>
      <c r="AH27" s="26"/>
      <c r="AI27" s="26"/>
      <c r="AJ27" s="26"/>
      <c r="AK27" s="27"/>
    </row>
    <row r="28" spans="1:37" ht="105" x14ac:dyDescent="0.25">
      <c r="A28" s="1" t="s">
        <v>11</v>
      </c>
      <c r="B28">
        <v>4176</v>
      </c>
      <c r="C28">
        <v>2418</v>
      </c>
      <c r="D28">
        <v>3904</v>
      </c>
      <c r="E28">
        <v>4197</v>
      </c>
      <c r="F28">
        <v>648</v>
      </c>
      <c r="G28">
        <v>584</v>
      </c>
      <c r="K28" s="1" t="s">
        <v>12</v>
      </c>
      <c r="L28">
        <v>57.386000000000003</v>
      </c>
      <c r="M28">
        <v>52.954999999999998</v>
      </c>
      <c r="N28">
        <v>3.6930000000000001</v>
      </c>
      <c r="O28">
        <v>1.181</v>
      </c>
      <c r="P28">
        <v>2.2330000000000001</v>
      </c>
      <c r="Q28">
        <v>1.5289999999999999</v>
      </c>
      <c r="AE28" s="5"/>
      <c r="AF28" s="1" t="s">
        <v>5</v>
      </c>
      <c r="AG28" s="6" t="s">
        <v>6</v>
      </c>
      <c r="AH28" s="1" t="s">
        <v>7</v>
      </c>
      <c r="AI28" s="6" t="s">
        <v>8</v>
      </c>
      <c r="AJ28" s="1" t="s">
        <v>1</v>
      </c>
      <c r="AK28" s="1" t="s">
        <v>0</v>
      </c>
    </row>
    <row r="29" spans="1:37" x14ac:dyDescent="0.25">
      <c r="A29" s="1" t="s">
        <v>12</v>
      </c>
      <c r="B29">
        <v>6833</v>
      </c>
      <c r="C29">
        <v>2009</v>
      </c>
      <c r="D29">
        <v>4365</v>
      </c>
      <c r="E29">
        <v>3310</v>
      </c>
      <c r="F29">
        <v>659</v>
      </c>
      <c r="G29">
        <v>649</v>
      </c>
      <c r="K29" s="1" t="s">
        <v>13</v>
      </c>
      <c r="L29">
        <v>61.35</v>
      </c>
      <c r="M29">
        <v>51.984999999999999</v>
      </c>
      <c r="N29">
        <v>2.6120000000000001</v>
      </c>
      <c r="O29">
        <v>1.282</v>
      </c>
      <c r="P29">
        <v>2.1989999999999998</v>
      </c>
      <c r="Q29">
        <v>1.244</v>
      </c>
      <c r="AE29" s="1" t="s">
        <v>9</v>
      </c>
      <c r="AF29">
        <v>369</v>
      </c>
      <c r="AG29">
        <v>8</v>
      </c>
      <c r="AH29">
        <v>132</v>
      </c>
      <c r="AI29">
        <v>153</v>
      </c>
      <c r="AJ29">
        <v>9</v>
      </c>
      <c r="AK29">
        <v>8</v>
      </c>
    </row>
    <row r="30" spans="1:37" x14ac:dyDescent="0.25">
      <c r="A30" s="1" t="s">
        <v>13</v>
      </c>
      <c r="B30">
        <v>4792</v>
      </c>
      <c r="C30">
        <v>2437</v>
      </c>
      <c r="D30">
        <v>3336</v>
      </c>
      <c r="E30">
        <v>3752</v>
      </c>
      <c r="F30">
        <v>630</v>
      </c>
      <c r="G30">
        <v>600</v>
      </c>
      <c r="U30" s="11" t="s">
        <v>53</v>
      </c>
      <c r="V30" s="11"/>
      <c r="W30" s="11"/>
      <c r="X30" s="11"/>
      <c r="Y30" s="11"/>
      <c r="Z30" s="11"/>
      <c r="AA30" s="11"/>
      <c r="AE30" s="1" t="s">
        <v>10</v>
      </c>
      <c r="AF30">
        <v>173</v>
      </c>
      <c r="AG30">
        <v>5</v>
      </c>
      <c r="AH30">
        <v>143</v>
      </c>
      <c r="AI30">
        <v>147</v>
      </c>
      <c r="AJ30">
        <v>8</v>
      </c>
      <c r="AK30">
        <v>8</v>
      </c>
    </row>
    <row r="31" spans="1:37" x14ac:dyDescent="0.25">
      <c r="U31" s="10" t="s">
        <v>16</v>
      </c>
      <c r="V31" s="10"/>
      <c r="W31" s="10"/>
      <c r="X31" s="10"/>
      <c r="Y31" s="10"/>
      <c r="Z31" s="10"/>
      <c r="AA31" s="10"/>
      <c r="AE31" s="1" t="s">
        <v>11</v>
      </c>
      <c r="AF31">
        <v>195</v>
      </c>
      <c r="AG31">
        <v>15</v>
      </c>
      <c r="AH31">
        <v>163</v>
      </c>
      <c r="AI31">
        <v>109</v>
      </c>
      <c r="AJ31">
        <v>8</v>
      </c>
      <c r="AK31">
        <v>8</v>
      </c>
    </row>
    <row r="32" spans="1:37" ht="105" x14ac:dyDescent="0.25">
      <c r="U32" s="5"/>
      <c r="V32" s="1" t="s">
        <v>5</v>
      </c>
      <c r="W32" s="6" t="s">
        <v>6</v>
      </c>
      <c r="X32" s="1" t="s">
        <v>7</v>
      </c>
      <c r="Y32" s="6" t="s">
        <v>8</v>
      </c>
      <c r="Z32" s="1" t="s">
        <v>1</v>
      </c>
      <c r="AA32" s="1" t="s">
        <v>0</v>
      </c>
      <c r="AE32" s="1" t="s">
        <v>12</v>
      </c>
      <c r="AF32">
        <v>689</v>
      </c>
      <c r="AG32">
        <v>1</v>
      </c>
      <c r="AH32">
        <v>198</v>
      </c>
      <c r="AI32">
        <v>116</v>
      </c>
      <c r="AJ32">
        <v>9</v>
      </c>
      <c r="AK32">
        <v>9</v>
      </c>
    </row>
    <row r="33" spans="1:37" x14ac:dyDescent="0.25">
      <c r="K33" s="11" t="s">
        <v>51</v>
      </c>
      <c r="L33" s="11"/>
      <c r="M33" s="11"/>
      <c r="N33" s="11"/>
      <c r="O33" s="11"/>
      <c r="P33" s="11"/>
      <c r="Q33" s="11"/>
      <c r="U33" s="1" t="s">
        <v>9</v>
      </c>
      <c r="V33">
        <v>4.2900000000000001E-2</v>
      </c>
      <c r="W33">
        <v>0</v>
      </c>
      <c r="X33">
        <v>0</v>
      </c>
      <c r="Y33">
        <v>0</v>
      </c>
      <c r="Z33">
        <v>0.25700000000000001</v>
      </c>
      <c r="AA33">
        <v>0.26400000000000001</v>
      </c>
      <c r="AE33" s="1" t="s">
        <v>13</v>
      </c>
      <c r="AF33">
        <v>377</v>
      </c>
      <c r="AG33">
        <v>29</v>
      </c>
      <c r="AH33">
        <v>119</v>
      </c>
      <c r="AI33">
        <v>146</v>
      </c>
      <c r="AJ33">
        <v>8</v>
      </c>
      <c r="AK33">
        <v>8</v>
      </c>
    </row>
    <row r="34" spans="1:37" x14ac:dyDescent="0.25">
      <c r="A34" s="11" t="s">
        <v>51</v>
      </c>
      <c r="B34" s="11"/>
      <c r="C34" s="11"/>
      <c r="D34" s="11"/>
      <c r="E34" s="11"/>
      <c r="F34" s="11"/>
      <c r="G34" s="11"/>
      <c r="K34" s="10" t="s">
        <v>45</v>
      </c>
      <c r="L34" s="10"/>
      <c r="M34" s="10"/>
      <c r="N34" s="10"/>
      <c r="O34" s="10"/>
      <c r="P34" s="10"/>
      <c r="Q34" s="10"/>
      <c r="U34" s="1" t="s">
        <v>10</v>
      </c>
      <c r="V34">
        <v>4.8000000000000001E-2</v>
      </c>
      <c r="W34">
        <v>0</v>
      </c>
      <c r="X34">
        <v>0</v>
      </c>
      <c r="Y34">
        <v>0</v>
      </c>
      <c r="Z34">
        <v>0.25900000000000001</v>
      </c>
      <c r="AA34">
        <v>0.245</v>
      </c>
    </row>
    <row r="35" spans="1:37" ht="105" x14ac:dyDescent="0.25">
      <c r="A35" s="10" t="s">
        <v>4</v>
      </c>
      <c r="B35" s="10"/>
      <c r="C35" s="10"/>
      <c r="D35" s="10"/>
      <c r="E35" s="10"/>
      <c r="F35" s="10"/>
      <c r="G35" s="10"/>
      <c r="K35" s="5"/>
      <c r="L35" s="1" t="s">
        <v>5</v>
      </c>
      <c r="M35" s="6" t="s">
        <v>6</v>
      </c>
      <c r="N35" s="1" t="s">
        <v>7</v>
      </c>
      <c r="O35" s="6" t="s">
        <v>8</v>
      </c>
      <c r="P35" s="1" t="s">
        <v>1</v>
      </c>
      <c r="Q35" s="1" t="s">
        <v>0</v>
      </c>
      <c r="U35" s="1" t="s">
        <v>11</v>
      </c>
      <c r="V35">
        <v>4.8300000000000003E-2</v>
      </c>
      <c r="W35">
        <v>0</v>
      </c>
      <c r="X35">
        <v>0</v>
      </c>
      <c r="Y35">
        <v>0</v>
      </c>
      <c r="Z35">
        <v>0.25800000000000001</v>
      </c>
      <c r="AA35">
        <v>0.24099999999999999</v>
      </c>
    </row>
    <row r="36" spans="1:37" ht="105" x14ac:dyDescent="0.25">
      <c r="A36" s="5"/>
      <c r="B36" s="1" t="s">
        <v>5</v>
      </c>
      <c r="C36" s="6" t="s">
        <v>6</v>
      </c>
      <c r="D36" s="1" t="s">
        <v>7</v>
      </c>
      <c r="E36" s="6" t="s">
        <v>8</v>
      </c>
      <c r="F36" s="1" t="s">
        <v>1</v>
      </c>
      <c r="G36" s="1" t="s">
        <v>0</v>
      </c>
      <c r="K36" s="1" t="s">
        <v>9</v>
      </c>
      <c r="L36">
        <v>58.968000000000004</v>
      </c>
      <c r="M36">
        <v>52.424999999999997</v>
      </c>
      <c r="N36">
        <v>3.573</v>
      </c>
      <c r="O36">
        <v>1.3120000000000001</v>
      </c>
      <c r="P36">
        <v>2.5259999999999998</v>
      </c>
      <c r="Q36">
        <v>1.222</v>
      </c>
      <c r="U36" s="1" t="s">
        <v>12</v>
      </c>
      <c r="V36">
        <v>0</v>
      </c>
      <c r="W36">
        <v>0</v>
      </c>
      <c r="X36">
        <v>0</v>
      </c>
      <c r="Y36">
        <v>0</v>
      </c>
      <c r="Z36">
        <v>0.26100000000000001</v>
      </c>
      <c r="AA36">
        <v>0.26700000000000002</v>
      </c>
    </row>
    <row r="37" spans="1:37" x14ac:dyDescent="0.25">
      <c r="A37" s="1" t="s">
        <v>9</v>
      </c>
      <c r="B37">
        <v>10511</v>
      </c>
      <c r="C37">
        <v>3246</v>
      </c>
      <c r="D37">
        <v>4551</v>
      </c>
      <c r="E37">
        <v>4206</v>
      </c>
      <c r="F37">
        <v>1217</v>
      </c>
      <c r="G37">
        <v>1081</v>
      </c>
      <c r="K37" s="1" t="s">
        <v>10</v>
      </c>
      <c r="L37">
        <v>56.76</v>
      </c>
      <c r="M37">
        <v>54.411000000000001</v>
      </c>
      <c r="N37">
        <v>4.242</v>
      </c>
      <c r="O37">
        <v>1.518</v>
      </c>
      <c r="P37">
        <v>3.2890000000000001</v>
      </c>
      <c r="Q37">
        <v>2.15</v>
      </c>
      <c r="U37" s="1" t="s">
        <v>13</v>
      </c>
      <c r="V37">
        <v>0</v>
      </c>
      <c r="W37">
        <v>0</v>
      </c>
      <c r="X37">
        <v>0</v>
      </c>
      <c r="Y37">
        <v>0</v>
      </c>
      <c r="Z37">
        <v>0.253</v>
      </c>
      <c r="AA37">
        <v>0.26300000000000001</v>
      </c>
    </row>
    <row r="38" spans="1:37" x14ac:dyDescent="0.25">
      <c r="A38" s="1" t="s">
        <v>10</v>
      </c>
      <c r="B38">
        <v>7791</v>
      </c>
      <c r="C38">
        <v>3479</v>
      </c>
      <c r="D38">
        <v>4638</v>
      </c>
      <c r="E38">
        <v>4443</v>
      </c>
      <c r="F38">
        <v>1171</v>
      </c>
      <c r="G38">
        <v>984</v>
      </c>
      <c r="K38" s="1" t="s">
        <v>11</v>
      </c>
      <c r="L38">
        <v>55.945</v>
      </c>
      <c r="M38">
        <v>58.024999999999999</v>
      </c>
      <c r="N38">
        <v>3.6640000000000001</v>
      </c>
      <c r="O38">
        <v>1.343</v>
      </c>
      <c r="P38">
        <v>2.9929999999999999</v>
      </c>
      <c r="Q38">
        <v>1.5660000000000001</v>
      </c>
      <c r="AE38" s="11" t="s">
        <v>51</v>
      </c>
      <c r="AF38" s="11"/>
      <c r="AG38" s="11"/>
      <c r="AH38" s="11"/>
      <c r="AI38" s="11"/>
      <c r="AJ38" s="11"/>
      <c r="AK38" s="11"/>
    </row>
    <row r="39" spans="1:37" x14ac:dyDescent="0.25">
      <c r="A39" s="1" t="s">
        <v>11</v>
      </c>
      <c r="B39">
        <v>6208</v>
      </c>
      <c r="C39">
        <v>2855</v>
      </c>
      <c r="D39">
        <v>3445</v>
      </c>
      <c r="E39">
        <v>3679</v>
      </c>
      <c r="F39">
        <v>1168</v>
      </c>
      <c r="G39">
        <v>1060</v>
      </c>
      <c r="K39" s="1" t="s">
        <v>12</v>
      </c>
      <c r="L39">
        <v>55.603000000000002</v>
      </c>
      <c r="M39">
        <v>55.481999999999999</v>
      </c>
      <c r="N39">
        <v>5.915</v>
      </c>
      <c r="O39">
        <v>1.3080000000000001</v>
      </c>
      <c r="P39">
        <v>3.1429999999999998</v>
      </c>
      <c r="Q39">
        <v>1.401</v>
      </c>
      <c r="U39" s="22" t="s">
        <v>17</v>
      </c>
      <c r="V39" s="22"/>
      <c r="W39" s="22"/>
      <c r="AE39" s="25" t="s">
        <v>47</v>
      </c>
      <c r="AF39" s="26"/>
      <c r="AG39" s="26"/>
      <c r="AH39" s="26"/>
      <c r="AI39" s="26"/>
      <c r="AJ39" s="26"/>
      <c r="AK39" s="27"/>
    </row>
    <row r="40" spans="1:37" ht="105" x14ac:dyDescent="0.25">
      <c r="A40" s="1" t="s">
        <v>12</v>
      </c>
      <c r="B40">
        <v>9466</v>
      </c>
      <c r="C40">
        <v>2928</v>
      </c>
      <c r="D40">
        <v>4927</v>
      </c>
      <c r="E40">
        <v>3928</v>
      </c>
      <c r="F40">
        <v>1140</v>
      </c>
      <c r="G40">
        <v>1017</v>
      </c>
      <c r="K40" s="1" t="s">
        <v>13</v>
      </c>
      <c r="L40">
        <v>56.177999999999997</v>
      </c>
      <c r="M40">
        <v>57.457000000000001</v>
      </c>
      <c r="N40">
        <v>2.9209999999999998</v>
      </c>
      <c r="O40">
        <v>1.32</v>
      </c>
      <c r="P40">
        <v>2.5939999999999999</v>
      </c>
      <c r="Q40">
        <v>1.7030000000000001</v>
      </c>
      <c r="U40" s="7"/>
      <c r="V40" s="1" t="s">
        <v>0</v>
      </c>
      <c r="W40" s="1" t="s">
        <v>1</v>
      </c>
      <c r="X40" s="1" t="s">
        <v>5</v>
      </c>
      <c r="AE40" s="5"/>
      <c r="AF40" s="1" t="s">
        <v>5</v>
      </c>
      <c r="AG40" s="6" t="s">
        <v>6</v>
      </c>
      <c r="AH40" s="1" t="s">
        <v>7</v>
      </c>
      <c r="AI40" s="6" t="s">
        <v>8</v>
      </c>
      <c r="AJ40" s="1" t="s">
        <v>1</v>
      </c>
      <c r="AK40" s="1" t="s">
        <v>0</v>
      </c>
    </row>
    <row r="41" spans="1:37" x14ac:dyDescent="0.25">
      <c r="A41" s="1" t="s">
        <v>13</v>
      </c>
      <c r="B41">
        <v>9745</v>
      </c>
      <c r="C41">
        <v>3446</v>
      </c>
      <c r="D41">
        <v>3946</v>
      </c>
      <c r="E41">
        <v>4442</v>
      </c>
      <c r="F41">
        <v>1112</v>
      </c>
      <c r="G41">
        <v>1104</v>
      </c>
      <c r="U41" s="1" t="s">
        <v>9</v>
      </c>
      <c r="V41" s="4">
        <v>0.28854000000000002</v>
      </c>
      <c r="W41" s="4">
        <v>0.28538000000000002</v>
      </c>
      <c r="X41" s="4">
        <v>6.9510000000000002E-2</v>
      </c>
      <c r="AE41" s="1" t="s">
        <v>9</v>
      </c>
      <c r="AF41">
        <v>1332</v>
      </c>
      <c r="AG41">
        <v>89</v>
      </c>
      <c r="AH41">
        <v>220</v>
      </c>
      <c r="AI41">
        <v>141</v>
      </c>
      <c r="AJ41">
        <v>20</v>
      </c>
      <c r="AK41">
        <v>18</v>
      </c>
    </row>
    <row r="42" spans="1:37" x14ac:dyDescent="0.25">
      <c r="U42" s="1" t="s">
        <v>10</v>
      </c>
      <c r="V42" s="4">
        <v>0.26740000000000003</v>
      </c>
      <c r="W42" s="4">
        <v>0.28585500000000003</v>
      </c>
      <c r="X42" s="4">
        <v>7.7810000000000004E-2</v>
      </c>
      <c r="AE42" s="1" t="s">
        <v>10</v>
      </c>
      <c r="AF42">
        <v>663</v>
      </c>
      <c r="AG42">
        <v>64</v>
      </c>
      <c r="AH42">
        <v>188</v>
      </c>
      <c r="AI42">
        <v>172</v>
      </c>
      <c r="AJ42">
        <v>16</v>
      </c>
      <c r="AK42">
        <v>17</v>
      </c>
    </row>
    <row r="43" spans="1:37" x14ac:dyDescent="0.25">
      <c r="U43" s="1" t="s">
        <v>11</v>
      </c>
      <c r="V43" s="4">
        <v>0.26346000000000003</v>
      </c>
      <c r="W43" s="4">
        <v>0.28932999999999998</v>
      </c>
      <c r="X43" s="4">
        <v>8.5900000000000004E-2</v>
      </c>
      <c r="AE43" s="1" t="s">
        <v>11</v>
      </c>
      <c r="AF43">
        <v>502</v>
      </c>
      <c r="AG43">
        <v>41</v>
      </c>
      <c r="AH43">
        <v>739</v>
      </c>
      <c r="AI43">
        <v>111</v>
      </c>
      <c r="AJ43">
        <v>19</v>
      </c>
      <c r="AK43">
        <v>16</v>
      </c>
    </row>
    <row r="44" spans="1:37" x14ac:dyDescent="0.25">
      <c r="U44" s="1" t="s">
        <v>12</v>
      </c>
      <c r="V44" s="4">
        <v>0.28989999999999999</v>
      </c>
      <c r="W44" s="4">
        <v>0.28589999999999999</v>
      </c>
      <c r="X44" s="4">
        <v>0</v>
      </c>
      <c r="AE44" s="1" t="s">
        <v>12</v>
      </c>
      <c r="AF44">
        <v>1108</v>
      </c>
      <c r="AG44">
        <v>72</v>
      </c>
      <c r="AH44">
        <v>261</v>
      </c>
      <c r="AI44">
        <v>149</v>
      </c>
      <c r="AJ44">
        <v>17</v>
      </c>
      <c r="AK44">
        <v>16</v>
      </c>
    </row>
    <row r="45" spans="1:37" x14ac:dyDescent="0.25">
      <c r="U45" s="1" t="s">
        <v>13</v>
      </c>
      <c r="V45" s="4">
        <v>0.28688000000000002</v>
      </c>
      <c r="W45" s="4">
        <v>0.27628999999999998</v>
      </c>
      <c r="X45" s="4">
        <v>0</v>
      </c>
      <c r="AE45" s="1" t="s">
        <v>13</v>
      </c>
      <c r="AF45">
        <v>719</v>
      </c>
      <c r="AG45">
        <v>65</v>
      </c>
      <c r="AH45">
        <v>213</v>
      </c>
      <c r="AI45">
        <v>139</v>
      </c>
      <c r="AJ45">
        <v>19</v>
      </c>
      <c r="AK45">
        <v>17</v>
      </c>
    </row>
    <row r="48" spans="1:37" x14ac:dyDescent="0.25">
      <c r="U48" s="11" t="s">
        <v>50</v>
      </c>
      <c r="V48" s="11"/>
      <c r="W48" s="11"/>
      <c r="X48" s="11"/>
      <c r="Y48" s="11"/>
      <c r="Z48" s="11"/>
      <c r="AA48" s="11"/>
    </row>
    <row r="49" spans="1:37" x14ac:dyDescent="0.25">
      <c r="U49" s="10" t="s">
        <v>16</v>
      </c>
      <c r="V49" s="10"/>
      <c r="W49" s="10"/>
      <c r="X49" s="10"/>
      <c r="Y49" s="10"/>
      <c r="Z49" s="10"/>
      <c r="AA49" s="10"/>
      <c r="AE49" s="12" t="s">
        <v>44</v>
      </c>
      <c r="AF49" s="12"/>
      <c r="AG49" s="12"/>
      <c r="AH49" s="12"/>
      <c r="AI49" s="12"/>
      <c r="AJ49" s="12"/>
      <c r="AK49" s="12"/>
    </row>
    <row r="50" spans="1:37" ht="105" x14ac:dyDescent="0.25">
      <c r="U50" s="5"/>
      <c r="V50" s="1" t="s">
        <v>5</v>
      </c>
      <c r="W50" s="6" t="s">
        <v>6</v>
      </c>
      <c r="X50" s="1" t="s">
        <v>7</v>
      </c>
      <c r="Y50" s="6" t="s">
        <v>8</v>
      </c>
      <c r="Z50" s="1" t="s">
        <v>1</v>
      </c>
      <c r="AA50" s="1" t="s">
        <v>0</v>
      </c>
      <c r="AE50" s="5"/>
      <c r="AF50" s="1" t="s">
        <v>5</v>
      </c>
      <c r="AG50" s="6" t="s">
        <v>6</v>
      </c>
      <c r="AH50" s="1" t="s">
        <v>7</v>
      </c>
      <c r="AI50" s="6" t="s">
        <v>8</v>
      </c>
      <c r="AJ50" s="1" t="s">
        <v>1</v>
      </c>
      <c r="AK50" s="1" t="s">
        <v>0</v>
      </c>
    </row>
    <row r="51" spans="1:37" x14ac:dyDescent="0.25">
      <c r="U51" s="1" t="s">
        <v>9</v>
      </c>
      <c r="V51">
        <v>4.7199999999999999E-2</v>
      </c>
      <c r="W51">
        <v>0</v>
      </c>
      <c r="Z51">
        <v>0.49399999999999999</v>
      </c>
      <c r="AA51">
        <v>0.49</v>
      </c>
      <c r="AE51" s="1">
        <v>2</v>
      </c>
      <c r="AF51">
        <f>AVERAGE(AF5:AF9)</f>
        <v>1</v>
      </c>
      <c r="AG51">
        <f t="shared" ref="AG51:AK51" si="0">AVERAGE(AG5:AG9)</f>
        <v>1</v>
      </c>
      <c r="AH51">
        <f t="shared" si="0"/>
        <v>71.2</v>
      </c>
      <c r="AI51">
        <f>AVERAGE(AI5:AI9)</f>
        <v>78.400000000000006</v>
      </c>
      <c r="AJ51">
        <f>AVERAGE(AJ5:AJ9)</f>
        <v>2</v>
      </c>
      <c r="AK51">
        <f t="shared" si="0"/>
        <v>2</v>
      </c>
    </row>
    <row r="52" spans="1:37" x14ac:dyDescent="0.25">
      <c r="U52" s="1" t="s">
        <v>10</v>
      </c>
      <c r="V52">
        <v>1.409E-2</v>
      </c>
      <c r="Z52">
        <v>0.505</v>
      </c>
      <c r="AA52">
        <v>0.49</v>
      </c>
      <c r="AE52" s="1">
        <v>4</v>
      </c>
      <c r="AF52">
        <f t="shared" ref="AF52:AK52" si="1">AVERAGE(AF15:AF19)</f>
        <v>91</v>
      </c>
      <c r="AG52">
        <f t="shared" si="1"/>
        <v>1</v>
      </c>
      <c r="AH52">
        <f t="shared" si="1"/>
        <v>96.6</v>
      </c>
      <c r="AI52">
        <f t="shared" si="1"/>
        <v>89.4</v>
      </c>
      <c r="AJ52">
        <f t="shared" si="1"/>
        <v>1</v>
      </c>
      <c r="AK52">
        <f t="shared" si="1"/>
        <v>1</v>
      </c>
    </row>
    <row r="53" spans="1:37" x14ac:dyDescent="0.25">
      <c r="U53" s="1" t="s">
        <v>11</v>
      </c>
      <c r="V53">
        <v>7.2099999999999997E-2</v>
      </c>
      <c r="Z53">
        <v>0.49399999999999999</v>
      </c>
      <c r="AA53">
        <v>0.50800000000000001</v>
      </c>
      <c r="AE53" s="1">
        <v>8</v>
      </c>
      <c r="AF53">
        <f>AVERAGE(AF29:AF33)</f>
        <v>360.6</v>
      </c>
      <c r="AG53">
        <f t="shared" ref="AG53:AJ53" si="2">AVERAGE(AG29:AG33)</f>
        <v>11.6</v>
      </c>
      <c r="AH53">
        <f t="shared" si="2"/>
        <v>151</v>
      </c>
      <c r="AI53">
        <f>AVERAGE(AI29:AI33)</f>
        <v>134.19999999999999</v>
      </c>
      <c r="AJ53">
        <f t="shared" si="2"/>
        <v>8.4</v>
      </c>
      <c r="AK53">
        <f>AVERAGE(AK29:AK33)</f>
        <v>8.1999999999999993</v>
      </c>
    </row>
    <row r="54" spans="1:37" x14ac:dyDescent="0.25">
      <c r="A54" s="12" t="s">
        <v>44</v>
      </c>
      <c r="B54" s="12"/>
      <c r="C54" s="12"/>
      <c r="D54" s="12"/>
      <c r="E54" s="12"/>
      <c r="F54" s="12"/>
      <c r="G54" s="12"/>
      <c r="K54" s="12" t="s">
        <v>44</v>
      </c>
      <c r="L54" s="12"/>
      <c r="M54" s="12"/>
      <c r="N54" s="12"/>
      <c r="O54" s="12"/>
      <c r="P54" s="12"/>
      <c r="Q54" s="12"/>
      <c r="U54" s="1" t="s">
        <v>12</v>
      </c>
      <c r="V54">
        <v>4.7600000000000003E-2</v>
      </c>
      <c r="Z54">
        <v>0.497</v>
      </c>
      <c r="AA54">
        <v>0.48799999999999999</v>
      </c>
      <c r="AE54" s="1">
        <v>16</v>
      </c>
      <c r="AF54">
        <f t="shared" ref="AF54:AK54" si="3">AVERAGE(AF41:AF45)</f>
        <v>864.8</v>
      </c>
      <c r="AG54">
        <f t="shared" si="3"/>
        <v>66.2</v>
      </c>
      <c r="AH54">
        <f t="shared" si="3"/>
        <v>324.2</v>
      </c>
      <c r="AI54">
        <f>AVERAGE(AI41:AI45)</f>
        <v>142.4</v>
      </c>
      <c r="AJ54">
        <f t="shared" si="3"/>
        <v>18.2</v>
      </c>
      <c r="AK54">
        <f t="shared" si="3"/>
        <v>16.8</v>
      </c>
    </row>
    <row r="55" spans="1:37" ht="105" x14ac:dyDescent="0.25">
      <c r="A55" s="5"/>
      <c r="B55" s="1" t="s">
        <v>5</v>
      </c>
      <c r="C55" s="6" t="s">
        <v>6</v>
      </c>
      <c r="D55" s="1" t="s">
        <v>7</v>
      </c>
      <c r="E55" s="6" t="s">
        <v>8</v>
      </c>
      <c r="F55" s="1" t="s">
        <v>1</v>
      </c>
      <c r="G55" s="1" t="s">
        <v>0</v>
      </c>
      <c r="K55" s="5"/>
      <c r="L55" s="1" t="s">
        <v>5</v>
      </c>
      <c r="M55" s="6" t="s">
        <v>6</v>
      </c>
      <c r="N55" s="1" t="s">
        <v>7</v>
      </c>
      <c r="O55" s="6" t="s">
        <v>8</v>
      </c>
      <c r="P55" s="1" t="s">
        <v>1</v>
      </c>
      <c r="Q55" s="1" t="s">
        <v>0</v>
      </c>
      <c r="U55" s="1" t="s">
        <v>13</v>
      </c>
      <c r="V55">
        <v>6.8000000000000005E-2</v>
      </c>
      <c r="Z55">
        <v>0.496</v>
      </c>
      <c r="AA55">
        <v>0.501</v>
      </c>
    </row>
    <row r="56" spans="1:37" x14ac:dyDescent="0.25">
      <c r="A56" s="1">
        <v>2</v>
      </c>
      <c r="B56">
        <f t="shared" ref="B56:G56" si="4">AVERAGE(B5:B9)</f>
        <v>752.8</v>
      </c>
      <c r="C56">
        <f t="shared" si="4"/>
        <v>923.8</v>
      </c>
      <c r="D56">
        <f t="shared" si="4"/>
        <v>2134.1999999999998</v>
      </c>
      <c r="E56">
        <f t="shared" si="4"/>
        <v>2128.8000000000002</v>
      </c>
      <c r="F56">
        <f t="shared" si="4"/>
        <v>167.4</v>
      </c>
      <c r="G56">
        <f t="shared" si="4"/>
        <v>138.4</v>
      </c>
      <c r="K56" s="1">
        <v>2</v>
      </c>
      <c r="L56">
        <f>AVERAGE(L5:L9)</f>
        <v>8.1584000000000003</v>
      </c>
      <c r="M56">
        <f>AVERAGE(M5:M9)</f>
        <v>8.2326000000000015</v>
      </c>
      <c r="N56">
        <f>AVERAGE(N5:N9)</f>
        <v>4.2061999999999999</v>
      </c>
      <c r="O56">
        <f t="shared" ref="O56:Q56" si="5">AVERAGE(O5:O9)</f>
        <v>0.88080000000000003</v>
      </c>
      <c r="P56">
        <f t="shared" si="5"/>
        <v>1.4762</v>
      </c>
      <c r="Q56">
        <f t="shared" si="5"/>
        <v>0.98839999999999983</v>
      </c>
    </row>
    <row r="57" spans="1:37" x14ac:dyDescent="0.25">
      <c r="A57" s="1">
        <v>4</v>
      </c>
      <c r="B57">
        <f t="shared" ref="B57:G57" si="6">AVERAGE(B15:B19)</f>
        <v>2553.1999999999998</v>
      </c>
      <c r="C57">
        <f t="shared" si="6"/>
        <v>1515.2</v>
      </c>
      <c r="D57">
        <f t="shared" si="6"/>
        <v>2828.6</v>
      </c>
      <c r="E57">
        <f t="shared" si="6"/>
        <v>2738.4</v>
      </c>
      <c r="F57">
        <f t="shared" si="6"/>
        <v>397</v>
      </c>
      <c r="G57">
        <f t="shared" si="6"/>
        <v>345.2</v>
      </c>
      <c r="K57" s="1">
        <v>4</v>
      </c>
      <c r="L57">
        <f>AVERAGE(L15:L19)</f>
        <v>41.362200000000001</v>
      </c>
      <c r="M57">
        <f>AVERAGE(M15:M19)</f>
        <v>39.098399999999998</v>
      </c>
      <c r="N57">
        <f>AVERAGE(N15:N19)</f>
        <v>3.0251999999999999</v>
      </c>
      <c r="O57">
        <f t="shared" ref="O57:Q57" si="7">AVERAGE(O15:O19)</f>
        <v>1.2345999999999999</v>
      </c>
      <c r="P57">
        <f t="shared" si="7"/>
        <v>2.0864000000000003</v>
      </c>
      <c r="Q57">
        <f t="shared" si="7"/>
        <v>1.0564</v>
      </c>
      <c r="U57" s="22" t="s">
        <v>17</v>
      </c>
      <c r="V57" s="22"/>
      <c r="W57" s="22"/>
    </row>
    <row r="58" spans="1:37" x14ac:dyDescent="0.25">
      <c r="A58" s="1">
        <v>8</v>
      </c>
      <c r="B58">
        <f t="shared" ref="B58:G58" si="8">AVERAGE(B26:B30)</f>
        <v>4934.8</v>
      </c>
      <c r="C58">
        <f t="shared" si="8"/>
        <v>2200.1999999999998</v>
      </c>
      <c r="D58">
        <f t="shared" si="8"/>
        <v>3684.4</v>
      </c>
      <c r="E58">
        <f t="shared" si="8"/>
        <v>3632.2</v>
      </c>
      <c r="F58">
        <f t="shared" si="8"/>
        <v>648.6</v>
      </c>
      <c r="G58">
        <f t="shared" si="8"/>
        <v>604.6</v>
      </c>
      <c r="K58" s="1">
        <v>8</v>
      </c>
      <c r="L58">
        <f>AVERAGE(L25:L29)</f>
        <v>57.467799999999997</v>
      </c>
      <c r="M58">
        <f>AVERAGE(M25:M29)</f>
        <v>52.676400000000001</v>
      </c>
      <c r="N58">
        <f>AVERAGE(N25:N29)</f>
        <v>3.7552000000000008</v>
      </c>
      <c r="O58">
        <f t="shared" ref="O58:Q58" si="9">AVERAGE(O25:O29)</f>
        <v>1.1858</v>
      </c>
      <c r="P58">
        <f t="shared" si="9"/>
        <v>2.1432000000000002</v>
      </c>
      <c r="Q58">
        <f t="shared" si="9"/>
        <v>1.2193999999999998</v>
      </c>
      <c r="U58" s="7"/>
      <c r="V58" s="1" t="s">
        <v>0</v>
      </c>
      <c r="W58" s="1" t="s">
        <v>1</v>
      </c>
      <c r="X58" s="1" t="s">
        <v>5</v>
      </c>
    </row>
    <row r="59" spans="1:37" x14ac:dyDescent="0.25">
      <c r="A59" s="1">
        <v>16</v>
      </c>
      <c r="B59">
        <f t="shared" ref="B59:G59" si="10">AVERAGE(B37:B41)</f>
        <v>8744.2000000000007</v>
      </c>
      <c r="C59">
        <f t="shared" si="10"/>
        <v>3190.8</v>
      </c>
      <c r="D59">
        <f t="shared" si="10"/>
        <v>4301.3999999999996</v>
      </c>
      <c r="E59">
        <f t="shared" si="10"/>
        <v>4139.6000000000004</v>
      </c>
      <c r="F59">
        <f t="shared" si="10"/>
        <v>1161.5999999999999</v>
      </c>
      <c r="G59">
        <f t="shared" si="10"/>
        <v>1049.2</v>
      </c>
      <c r="K59" s="1">
        <v>16</v>
      </c>
      <c r="L59">
        <f>AVERAGE(L36:L40)</f>
        <v>56.690800000000003</v>
      </c>
      <c r="M59">
        <f>AVERAGE(M36:M40)</f>
        <v>55.56</v>
      </c>
      <c r="N59">
        <f>AVERAGE(N36:N40)</f>
        <v>4.0629999999999997</v>
      </c>
      <c r="O59">
        <f t="shared" ref="O59:Q59" si="11">AVERAGE(O36:O40)</f>
        <v>1.3602000000000001</v>
      </c>
      <c r="P59">
        <f t="shared" si="11"/>
        <v>2.9089999999999998</v>
      </c>
      <c r="Q59">
        <f t="shared" si="11"/>
        <v>1.6084000000000001</v>
      </c>
      <c r="U59" s="1" t="s">
        <v>9</v>
      </c>
      <c r="V59" s="4">
        <v>0.69238999999999995</v>
      </c>
      <c r="W59" s="4">
        <v>0.69638999999999995</v>
      </c>
      <c r="X59" s="4">
        <v>7.0273000000000002E-2</v>
      </c>
    </row>
    <row r="60" spans="1:37" x14ac:dyDescent="0.25">
      <c r="U60" s="1" t="s">
        <v>10</v>
      </c>
      <c r="V60" s="4">
        <v>0.68925999999999998</v>
      </c>
      <c r="W60" s="4">
        <v>0.71289999999999998</v>
      </c>
      <c r="X60" s="4">
        <v>4.555E-2</v>
      </c>
    </row>
    <row r="61" spans="1:37" x14ac:dyDescent="0.25">
      <c r="U61" s="1" t="s">
        <v>11</v>
      </c>
      <c r="V61" s="4">
        <v>0.71136999999999995</v>
      </c>
      <c r="W61" s="4">
        <v>0.69982</v>
      </c>
      <c r="X61" s="4">
        <v>8.3080000000000001E-2</v>
      </c>
    </row>
    <row r="62" spans="1:37" x14ac:dyDescent="0.25">
      <c r="U62" s="1" t="s">
        <v>12</v>
      </c>
      <c r="V62" s="4">
        <v>0.68679000000000001</v>
      </c>
      <c r="W62" s="4">
        <v>0.69926999999999995</v>
      </c>
      <c r="X62" s="4">
        <v>7.0930000000000007E-2</v>
      </c>
    </row>
    <row r="63" spans="1:37" x14ac:dyDescent="0.25">
      <c r="U63" s="1" t="s">
        <v>13</v>
      </c>
      <c r="V63" s="4">
        <v>0.71287999999999996</v>
      </c>
      <c r="W63" s="4">
        <v>0.70445999999999998</v>
      </c>
      <c r="X63" s="4">
        <v>7.0849999999999996E-2</v>
      </c>
    </row>
    <row r="67" spans="21:27" x14ac:dyDescent="0.25">
      <c r="U67" s="11" t="s">
        <v>51</v>
      </c>
      <c r="V67" s="11"/>
      <c r="W67" s="11"/>
      <c r="X67" s="11"/>
      <c r="Y67" s="11"/>
      <c r="Z67" s="11"/>
      <c r="AA67" s="11"/>
    </row>
    <row r="68" spans="21:27" x14ac:dyDescent="0.25">
      <c r="U68" s="10" t="s">
        <v>16</v>
      </c>
      <c r="V68" s="10"/>
      <c r="W68" s="10"/>
      <c r="X68" s="10"/>
      <c r="Y68" s="10"/>
      <c r="Z68" s="10"/>
      <c r="AA68" s="10"/>
    </row>
    <row r="69" spans="21:27" ht="105" x14ac:dyDescent="0.25">
      <c r="U69" s="5"/>
      <c r="V69" s="1" t="s">
        <v>5</v>
      </c>
      <c r="W69" s="6" t="s">
        <v>6</v>
      </c>
      <c r="X69" s="1" t="s">
        <v>7</v>
      </c>
      <c r="Y69" s="6" t="s">
        <v>8</v>
      </c>
      <c r="Z69" s="1" t="s">
        <v>1</v>
      </c>
      <c r="AA69" s="1" t="s">
        <v>0</v>
      </c>
    </row>
    <row r="70" spans="21:27" x14ac:dyDescent="0.25">
      <c r="U70" s="1" t="s">
        <v>9</v>
      </c>
      <c r="V70">
        <v>9.5699999999999993E-2</v>
      </c>
      <c r="W70">
        <v>0</v>
      </c>
      <c r="X70">
        <v>0</v>
      </c>
      <c r="Y70">
        <v>0</v>
      </c>
      <c r="Z70">
        <v>0.85699999999999998</v>
      </c>
      <c r="AA70">
        <v>0.86699999999999999</v>
      </c>
    </row>
    <row r="71" spans="21:27" x14ac:dyDescent="0.25">
      <c r="U71" s="1" t="s">
        <v>10</v>
      </c>
      <c r="V71">
        <v>0.11</v>
      </c>
      <c r="W71">
        <v>0</v>
      </c>
      <c r="X71">
        <v>0</v>
      </c>
      <c r="Y71">
        <v>0</v>
      </c>
      <c r="Z71">
        <v>0.86099999999999999</v>
      </c>
      <c r="AA71">
        <v>0.86</v>
      </c>
    </row>
    <row r="72" spans="21:27" x14ac:dyDescent="0.25">
      <c r="U72" s="1" t="s">
        <v>11</v>
      </c>
      <c r="V72">
        <v>6.3E-2</v>
      </c>
      <c r="W72">
        <v>0</v>
      </c>
      <c r="X72">
        <v>0</v>
      </c>
      <c r="Y72">
        <v>0</v>
      </c>
      <c r="Z72">
        <v>0.86</v>
      </c>
      <c r="AA72">
        <v>0.86199999999999999</v>
      </c>
    </row>
    <row r="73" spans="21:27" x14ac:dyDescent="0.25">
      <c r="U73" s="1" t="s">
        <v>12</v>
      </c>
      <c r="V73">
        <v>7.0000000000000007E-2</v>
      </c>
      <c r="W73">
        <v>0</v>
      </c>
      <c r="X73">
        <v>0</v>
      </c>
      <c r="Y73">
        <v>0</v>
      </c>
      <c r="Z73">
        <v>0.85799999999999998</v>
      </c>
      <c r="AA73">
        <v>0.86599999999999999</v>
      </c>
    </row>
    <row r="74" spans="21:27" x14ac:dyDescent="0.25">
      <c r="U74" s="1" t="s">
        <v>13</v>
      </c>
      <c r="V74">
        <v>0.215</v>
      </c>
      <c r="W74">
        <v>0</v>
      </c>
      <c r="X74">
        <v>0</v>
      </c>
      <c r="Y74">
        <v>0</v>
      </c>
      <c r="Z74">
        <v>0.86099999999999999</v>
      </c>
      <c r="AA74">
        <v>0.87560000000000004</v>
      </c>
    </row>
    <row r="76" spans="21:27" x14ac:dyDescent="0.25">
      <c r="U76" s="22" t="s">
        <v>17</v>
      </c>
      <c r="V76" s="22"/>
      <c r="W76" s="22"/>
    </row>
    <row r="77" spans="21:27" x14ac:dyDescent="0.25">
      <c r="U77" s="7"/>
      <c r="V77" s="1" t="s">
        <v>0</v>
      </c>
      <c r="W77" s="1" t="s">
        <v>1</v>
      </c>
      <c r="X77" s="1" t="s">
        <v>5</v>
      </c>
      <c r="Y77" s="1" t="s">
        <v>7</v>
      </c>
    </row>
    <row r="78" spans="21:27" x14ac:dyDescent="0.25">
      <c r="U78" s="1" t="s">
        <v>9</v>
      </c>
      <c r="V78" s="4">
        <v>2.9926300000000001</v>
      </c>
      <c r="W78" s="4">
        <v>2.9698099999999998</v>
      </c>
      <c r="X78" s="4">
        <v>0.47893999999999998</v>
      </c>
      <c r="Y78" s="4"/>
    </row>
    <row r="79" spans="21:27" x14ac:dyDescent="0.25">
      <c r="U79" s="1" t="s">
        <v>10</v>
      </c>
      <c r="V79" s="4">
        <v>2.9826000000000001</v>
      </c>
      <c r="W79" s="4">
        <v>2.9761600000000001</v>
      </c>
      <c r="X79" s="4">
        <v>0.43214999999999998</v>
      </c>
      <c r="Y79" s="4"/>
    </row>
    <row r="80" spans="21:27" x14ac:dyDescent="0.25">
      <c r="U80" s="1" t="s">
        <v>11</v>
      </c>
      <c r="V80" s="4">
        <v>2.9972400000000001</v>
      </c>
      <c r="W80" s="4">
        <v>2.9929999999999999</v>
      </c>
      <c r="X80" s="4">
        <v>0.25155</v>
      </c>
      <c r="Y80" s="4"/>
    </row>
    <row r="81" spans="21:27" x14ac:dyDescent="0.25">
      <c r="U81" s="1" t="s">
        <v>12</v>
      </c>
      <c r="V81" s="4">
        <v>2.99411</v>
      </c>
      <c r="W81" s="4">
        <v>2.95648</v>
      </c>
      <c r="X81" s="4">
        <v>0.46134999999999998</v>
      </c>
      <c r="Y81" s="4"/>
    </row>
    <row r="82" spans="21:27" x14ac:dyDescent="0.25">
      <c r="U82" s="1" t="s">
        <v>13</v>
      </c>
      <c r="V82" s="4">
        <v>3.0287799999999998</v>
      </c>
      <c r="W82" s="4">
        <v>2.97424</v>
      </c>
      <c r="X82" s="4">
        <v>0.63741999999999999</v>
      </c>
      <c r="Y82" s="4"/>
    </row>
    <row r="83" spans="21:27" x14ac:dyDescent="0.25">
      <c r="Y83" s="4"/>
    </row>
    <row r="84" spans="21:27" x14ac:dyDescent="0.25">
      <c r="Y84" s="4"/>
    </row>
    <row r="85" spans="21:27" x14ac:dyDescent="0.25">
      <c r="Y85" s="4"/>
    </row>
    <row r="87" spans="21:27" x14ac:dyDescent="0.25">
      <c r="U87" s="12" t="s">
        <v>23</v>
      </c>
      <c r="V87" s="12"/>
      <c r="W87" s="12"/>
      <c r="X87" s="12"/>
      <c r="Y87" s="12"/>
      <c r="Z87" s="12"/>
      <c r="AA87" s="12"/>
    </row>
    <row r="88" spans="21:27" x14ac:dyDescent="0.25">
      <c r="U88" s="10" t="s">
        <v>16</v>
      </c>
      <c r="V88" s="10"/>
      <c r="W88" s="10"/>
      <c r="X88" s="10"/>
      <c r="Y88" s="10"/>
      <c r="Z88" s="10"/>
      <c r="AA88" s="10"/>
    </row>
    <row r="89" spans="21:27" x14ac:dyDescent="0.25">
      <c r="U89" s="9"/>
      <c r="V89" s="1" t="s">
        <v>1</v>
      </c>
      <c r="W89" s="1" t="s">
        <v>0</v>
      </c>
      <c r="X89" s="1" t="s">
        <v>5</v>
      </c>
    </row>
    <row r="90" spans="21:27" x14ac:dyDescent="0.25">
      <c r="U90" s="1">
        <v>2</v>
      </c>
      <c r="V90">
        <f>AVERAGE(Z5:Z9)</f>
        <v>0.14179999999999998</v>
      </c>
      <c r="W90">
        <f>AVERAGE(AA5:AA9)</f>
        <v>0.1288</v>
      </c>
      <c r="X90">
        <v>0</v>
      </c>
    </row>
    <row r="91" spans="21:27" x14ac:dyDescent="0.25">
      <c r="U91" s="1">
        <v>4</v>
      </c>
      <c r="V91">
        <f>AVERAGE(Z33:Z37)</f>
        <v>0.25760000000000005</v>
      </c>
      <c r="W91">
        <f>AVERAGE(AA33:AA37)</f>
        <v>0.25599999999999995</v>
      </c>
      <c r="X91">
        <f>AVERAGE(V33:V37)</f>
        <v>2.7840000000000004E-2</v>
      </c>
    </row>
    <row r="92" spans="21:27" x14ac:dyDescent="0.25">
      <c r="U92" s="1">
        <v>8</v>
      </c>
      <c r="V92">
        <f>AVERAGE(Z51:Z55)</f>
        <v>0.49719999999999998</v>
      </c>
      <c r="W92">
        <f>AVERAGE(AA51:AA55)</f>
        <v>0.49539999999999995</v>
      </c>
      <c r="X92">
        <f>AVERAGE(V51:V55)</f>
        <v>4.9798000000000002E-2</v>
      </c>
    </row>
    <row r="93" spans="21:27" x14ac:dyDescent="0.25">
      <c r="U93" s="1">
        <v>16</v>
      </c>
      <c r="V93">
        <f>AVERAGE(Z70:Z74)</f>
        <v>0.85939999999999994</v>
      </c>
      <c r="W93">
        <f>AVERAGE(AA70:AA74)</f>
        <v>0.86612000000000011</v>
      </c>
      <c r="X93">
        <f>AVERAGE(V70:V74)</f>
        <v>0.11073999999999999</v>
      </c>
    </row>
    <row r="96" spans="21:27" x14ac:dyDescent="0.25">
      <c r="U96" s="19" t="s">
        <v>17</v>
      </c>
      <c r="V96" s="19"/>
      <c r="W96" s="19"/>
    </row>
    <row r="97" spans="21:24" x14ac:dyDescent="0.25">
      <c r="V97" s="1" t="s">
        <v>0</v>
      </c>
      <c r="W97" s="1" t="s">
        <v>1</v>
      </c>
      <c r="X97" s="1" t="s">
        <v>5</v>
      </c>
    </row>
    <row r="98" spans="21:24" x14ac:dyDescent="0.25">
      <c r="U98" s="1">
        <v>2</v>
      </c>
      <c r="V98" s="4">
        <f>AVERAGE(V22:V26)</f>
        <v>0.13449800000000001</v>
      </c>
      <c r="W98" s="4">
        <f>AVERAGE(W22:W26)</f>
        <v>0.14445</v>
      </c>
      <c r="X98" s="4">
        <v>0</v>
      </c>
    </row>
    <row r="99" spans="21:24" x14ac:dyDescent="0.25">
      <c r="U99" s="1">
        <v>4</v>
      </c>
      <c r="V99" s="4">
        <f>AVERAGE(V41:V45)</f>
        <v>0.27923600000000004</v>
      </c>
      <c r="W99" s="4">
        <f>AVERAGE(W41:W45)</f>
        <v>0.284551</v>
      </c>
      <c r="X99" s="4">
        <f>AVERAGE(X41:X45)</f>
        <v>4.6644000000000005E-2</v>
      </c>
    </row>
    <row r="100" spans="21:24" x14ac:dyDescent="0.25">
      <c r="U100" s="1">
        <v>8</v>
      </c>
      <c r="V100" s="4">
        <f>AVERAGE(V59:V63)</f>
        <v>0.6985380000000001</v>
      </c>
      <c r="W100" s="4">
        <f>AVERAGE(W59:W63)</f>
        <v>0.70256799999999997</v>
      </c>
      <c r="X100" s="4">
        <f>AVERAGE(X59:X63)</f>
        <v>6.8136599999999992E-2</v>
      </c>
    </row>
    <row r="101" spans="21:24" x14ac:dyDescent="0.25">
      <c r="U101" s="1">
        <v>16</v>
      </c>
      <c r="V101" s="4">
        <f>AVERAGE(V78:V82)</f>
        <v>2.999072</v>
      </c>
      <c r="W101" s="4">
        <f>AVERAGE(W78:W82)</f>
        <v>2.973938</v>
      </c>
      <c r="X101" s="4">
        <f>AVERAGE(X78:X82)</f>
        <v>0.45228199999999996</v>
      </c>
    </row>
  </sheetData>
  <mergeCells count="47">
    <mergeCell ref="AE27:AK27"/>
    <mergeCell ref="AE38:AK38"/>
    <mergeCell ref="AE39:AK39"/>
    <mergeCell ref="AE49:AK49"/>
    <mergeCell ref="AE1:AK1"/>
    <mergeCell ref="U76:W76"/>
    <mergeCell ref="U87:AA87"/>
    <mergeCell ref="U88:AA88"/>
    <mergeCell ref="U96:W96"/>
    <mergeCell ref="U1:AA1"/>
    <mergeCell ref="AE2:AK2"/>
    <mergeCell ref="AE3:AK3"/>
    <mergeCell ref="AE12:AK12"/>
    <mergeCell ref="AE13:AK13"/>
    <mergeCell ref="AE26:AK26"/>
    <mergeCell ref="U39:W39"/>
    <mergeCell ref="U48:AA48"/>
    <mergeCell ref="U49:AA49"/>
    <mergeCell ref="U57:W57"/>
    <mergeCell ref="U67:AA67"/>
    <mergeCell ref="U68:AA68"/>
    <mergeCell ref="K33:Q33"/>
    <mergeCell ref="K34:Q34"/>
    <mergeCell ref="K54:Q54"/>
    <mergeCell ref="K1:Q1"/>
    <mergeCell ref="U2:AA2"/>
    <mergeCell ref="U3:AA3"/>
    <mergeCell ref="U12:W12"/>
    <mergeCell ref="U20:W20"/>
    <mergeCell ref="U30:AA30"/>
    <mergeCell ref="U31:AA31"/>
    <mergeCell ref="A34:G34"/>
    <mergeCell ref="A35:G35"/>
    <mergeCell ref="A54:G54"/>
    <mergeCell ref="A1:G1"/>
    <mergeCell ref="K2:Q2"/>
    <mergeCell ref="K3:Q3"/>
    <mergeCell ref="K12:Q12"/>
    <mergeCell ref="K13:Q13"/>
    <mergeCell ref="K22:Q22"/>
    <mergeCell ref="K23:Q23"/>
    <mergeCell ref="A2:G2"/>
    <mergeCell ref="A3:G3"/>
    <mergeCell ref="A12:G12"/>
    <mergeCell ref="A13:G13"/>
    <mergeCell ref="A23:G23"/>
    <mergeCell ref="A24:G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1C7C6-25BD-4E7A-AFBE-98F39221FBBB}">
  <dimension ref="A1:AI101"/>
  <sheetViews>
    <sheetView topLeftCell="N48" workbookViewId="0">
      <selection activeCell="AP60" sqref="AP60"/>
    </sheetView>
  </sheetViews>
  <sheetFormatPr defaultRowHeight="15" x14ac:dyDescent="0.25"/>
  <sheetData>
    <row r="1" spans="1:35" x14ac:dyDescent="0.25">
      <c r="A1" s="18" t="s">
        <v>4</v>
      </c>
      <c r="B1" s="18"/>
      <c r="C1" s="18"/>
      <c r="D1" s="18"/>
      <c r="E1" s="18"/>
      <c r="F1" s="18"/>
      <c r="G1" s="18"/>
      <c r="J1" s="18" t="s">
        <v>52</v>
      </c>
      <c r="K1" s="18"/>
      <c r="L1" s="18"/>
      <c r="M1" s="18"/>
      <c r="N1" s="18"/>
      <c r="O1" s="18"/>
      <c r="P1" s="18"/>
      <c r="T1" s="18" t="s">
        <v>27</v>
      </c>
      <c r="U1" s="18"/>
      <c r="V1" s="18"/>
      <c r="W1" s="18"/>
      <c r="X1" s="18"/>
      <c r="Y1" s="18"/>
      <c r="Z1" s="18"/>
      <c r="AC1" s="18" t="s">
        <v>27</v>
      </c>
      <c r="AD1" s="18"/>
      <c r="AE1" s="18"/>
      <c r="AF1" s="18"/>
      <c r="AG1" s="18"/>
      <c r="AH1" s="18"/>
      <c r="AI1" s="18"/>
    </row>
    <row r="2" spans="1:35" x14ac:dyDescent="0.25">
      <c r="C2" t="s">
        <v>3</v>
      </c>
      <c r="J2" s="11" t="s">
        <v>54</v>
      </c>
      <c r="K2" s="11"/>
      <c r="L2" s="11"/>
      <c r="M2" s="11"/>
      <c r="N2" s="11"/>
      <c r="O2" s="11"/>
      <c r="P2" s="11"/>
      <c r="T2" s="11" t="s">
        <v>54</v>
      </c>
      <c r="U2" s="11"/>
      <c r="V2" s="11"/>
      <c r="W2" s="11"/>
      <c r="X2" s="11"/>
      <c r="Y2" s="11"/>
      <c r="Z2" s="11"/>
      <c r="AC2" s="30" t="s">
        <v>54</v>
      </c>
      <c r="AD2" s="30"/>
      <c r="AE2" s="30"/>
      <c r="AF2" s="30"/>
      <c r="AG2" s="30"/>
      <c r="AH2" s="30"/>
      <c r="AI2" s="30"/>
    </row>
    <row r="3" spans="1:35" x14ac:dyDescent="0.25">
      <c r="A3" s="11" t="s">
        <v>54</v>
      </c>
      <c r="B3" s="11"/>
      <c r="C3" s="11"/>
      <c r="D3" s="11"/>
      <c r="E3" s="11"/>
      <c r="F3" s="11"/>
      <c r="G3" s="11"/>
      <c r="J3" s="10" t="s">
        <v>45</v>
      </c>
      <c r="K3" s="10"/>
      <c r="L3" s="10"/>
      <c r="M3" s="10"/>
      <c r="N3" s="10"/>
      <c r="O3" s="10"/>
      <c r="P3" s="10"/>
      <c r="T3" s="10" t="s">
        <v>16</v>
      </c>
      <c r="U3" s="10"/>
      <c r="V3" s="10"/>
      <c r="W3" s="10"/>
      <c r="X3" s="10"/>
      <c r="Y3" s="10"/>
      <c r="Z3" s="10"/>
      <c r="AC3" s="25" t="s">
        <v>47</v>
      </c>
      <c r="AD3" s="26"/>
      <c r="AE3" s="26"/>
      <c r="AF3" s="26"/>
      <c r="AG3" s="26"/>
      <c r="AH3" s="26"/>
      <c r="AI3" s="27"/>
    </row>
    <row r="4" spans="1:35" ht="40.5" customHeight="1" x14ac:dyDescent="0.25">
      <c r="A4" s="10" t="s">
        <v>4</v>
      </c>
      <c r="B4" s="10"/>
      <c r="C4" s="10"/>
      <c r="D4" s="10"/>
      <c r="E4" s="10"/>
      <c r="F4" s="10"/>
      <c r="G4" s="10"/>
      <c r="J4" s="5"/>
      <c r="K4" s="1" t="s">
        <v>5</v>
      </c>
      <c r="L4" s="6" t="s">
        <v>6</v>
      </c>
      <c r="M4" s="1" t="s">
        <v>7</v>
      </c>
      <c r="N4" s="6" t="s">
        <v>8</v>
      </c>
      <c r="O4" s="1" t="s">
        <v>1</v>
      </c>
      <c r="P4" s="1" t="s">
        <v>0</v>
      </c>
      <c r="T4" s="5"/>
      <c r="U4" s="1" t="s">
        <v>5</v>
      </c>
      <c r="V4" s="6" t="s">
        <v>6</v>
      </c>
      <c r="W4" s="1" t="s">
        <v>7</v>
      </c>
      <c r="X4" s="6" t="s">
        <v>8</v>
      </c>
      <c r="Y4" s="1" t="s">
        <v>1</v>
      </c>
      <c r="Z4" s="1" t="s">
        <v>0</v>
      </c>
      <c r="AC4" s="28"/>
      <c r="AD4" s="6" t="s">
        <v>5</v>
      </c>
      <c r="AE4" s="6" t="s">
        <v>6</v>
      </c>
      <c r="AF4" s="6" t="s">
        <v>7</v>
      </c>
      <c r="AG4" s="6" t="s">
        <v>8</v>
      </c>
      <c r="AH4" s="6" t="s">
        <v>1</v>
      </c>
      <c r="AI4" s="6" t="s">
        <v>0</v>
      </c>
    </row>
    <row r="5" spans="1:35" ht="105" x14ac:dyDescent="0.25">
      <c r="A5" s="5"/>
      <c r="B5" s="1" t="s">
        <v>5</v>
      </c>
      <c r="C5" s="6" t="s">
        <v>6</v>
      </c>
      <c r="D5" s="1" t="s">
        <v>7</v>
      </c>
      <c r="E5" s="6" t="s">
        <v>8</v>
      </c>
      <c r="F5" s="1" t="s">
        <v>1</v>
      </c>
      <c r="G5" s="1" t="s">
        <v>0</v>
      </c>
      <c r="J5" s="1" t="s">
        <v>9</v>
      </c>
      <c r="K5">
        <v>1.2490000000000001</v>
      </c>
      <c r="L5">
        <v>1.173</v>
      </c>
      <c r="M5">
        <v>0.44</v>
      </c>
      <c r="N5">
        <v>0.254</v>
      </c>
      <c r="O5">
        <v>0.49399999999999999</v>
      </c>
      <c r="P5">
        <v>0.46200000000000002</v>
      </c>
      <c r="T5" s="1" t="s">
        <v>9</v>
      </c>
      <c r="U5">
        <v>0</v>
      </c>
      <c r="V5">
        <v>0</v>
      </c>
      <c r="W5">
        <v>0</v>
      </c>
      <c r="X5">
        <v>0</v>
      </c>
      <c r="Y5">
        <v>0.14299999999999999</v>
      </c>
      <c r="Z5">
        <v>0.13500000000000001</v>
      </c>
      <c r="AC5" s="6" t="s">
        <v>9</v>
      </c>
      <c r="AD5" s="29">
        <v>0</v>
      </c>
      <c r="AE5" s="29">
        <v>0</v>
      </c>
      <c r="AF5" s="29">
        <v>60</v>
      </c>
      <c r="AG5" s="29">
        <v>40</v>
      </c>
      <c r="AH5" s="29">
        <v>9</v>
      </c>
      <c r="AI5" s="29">
        <v>2</v>
      </c>
    </row>
    <row r="6" spans="1:35" x14ac:dyDescent="0.25">
      <c r="A6" s="1" t="s">
        <v>9</v>
      </c>
      <c r="B6">
        <v>1914</v>
      </c>
      <c r="C6">
        <v>1812</v>
      </c>
      <c r="D6">
        <v>1874</v>
      </c>
      <c r="E6">
        <v>1900</v>
      </c>
      <c r="F6">
        <v>856</v>
      </c>
      <c r="G6">
        <v>704</v>
      </c>
      <c r="J6" s="1" t="s">
        <v>10</v>
      </c>
      <c r="K6">
        <v>1.355</v>
      </c>
      <c r="L6">
        <v>1.32</v>
      </c>
      <c r="M6">
        <v>0.49299999999999999</v>
      </c>
      <c r="N6">
        <v>0.20799999999999999</v>
      </c>
      <c r="O6">
        <v>0.502</v>
      </c>
      <c r="P6">
        <v>0.45100000000000001</v>
      </c>
      <c r="T6" s="1" t="s">
        <v>10</v>
      </c>
      <c r="U6">
        <v>0</v>
      </c>
      <c r="V6">
        <v>0</v>
      </c>
      <c r="W6">
        <v>0</v>
      </c>
      <c r="Y6">
        <v>0.14099999999999999</v>
      </c>
      <c r="Z6">
        <v>0.1235</v>
      </c>
      <c r="AC6" s="6" t="s">
        <v>10</v>
      </c>
      <c r="AD6" s="29">
        <v>0</v>
      </c>
      <c r="AE6" s="29">
        <v>2</v>
      </c>
      <c r="AF6" s="29">
        <v>62</v>
      </c>
      <c r="AG6" s="29">
        <v>44</v>
      </c>
      <c r="AH6" s="29">
        <v>17</v>
      </c>
      <c r="AI6" s="29">
        <v>2</v>
      </c>
    </row>
    <row r="7" spans="1:35" x14ac:dyDescent="0.25">
      <c r="A7" s="1" t="s">
        <v>10</v>
      </c>
      <c r="B7">
        <v>1815</v>
      </c>
      <c r="C7">
        <v>1786</v>
      </c>
      <c r="D7">
        <v>1938</v>
      </c>
      <c r="E7">
        <v>2020</v>
      </c>
      <c r="F7">
        <v>940</v>
      </c>
      <c r="G7">
        <v>704</v>
      </c>
      <c r="J7" s="1" t="s">
        <v>11</v>
      </c>
      <c r="K7">
        <v>1.306</v>
      </c>
      <c r="L7">
        <v>1.181</v>
      </c>
      <c r="M7">
        <v>0.55900000000000005</v>
      </c>
      <c r="N7">
        <v>0.22500000000000001</v>
      </c>
      <c r="O7">
        <v>0.497</v>
      </c>
      <c r="P7">
        <v>0.46899999999999997</v>
      </c>
      <c r="T7" s="1" t="s">
        <v>11</v>
      </c>
      <c r="U7">
        <v>0</v>
      </c>
      <c r="V7">
        <v>0</v>
      </c>
      <c r="W7">
        <v>0</v>
      </c>
      <c r="Y7">
        <v>0.13900000000000001</v>
      </c>
      <c r="Z7">
        <v>0.14119999999999999</v>
      </c>
      <c r="AC7" s="6" t="s">
        <v>11</v>
      </c>
      <c r="AD7" s="29">
        <v>0</v>
      </c>
      <c r="AE7" s="29">
        <v>2</v>
      </c>
      <c r="AF7" s="29">
        <v>44</v>
      </c>
      <c r="AG7" s="29">
        <v>42</v>
      </c>
      <c r="AH7" s="29">
        <v>11</v>
      </c>
      <c r="AI7" s="29">
        <v>2</v>
      </c>
    </row>
    <row r="8" spans="1:35" x14ac:dyDescent="0.25">
      <c r="A8" s="1" t="s">
        <v>11</v>
      </c>
      <c r="B8">
        <v>1956</v>
      </c>
      <c r="C8">
        <v>1727</v>
      </c>
      <c r="D8">
        <v>2012</v>
      </c>
      <c r="E8">
        <v>1886</v>
      </c>
      <c r="F8">
        <v>956</v>
      </c>
      <c r="G8">
        <v>704</v>
      </c>
      <c r="J8" s="1" t="s">
        <v>12</v>
      </c>
      <c r="K8">
        <v>1.4650000000000001</v>
      </c>
      <c r="L8">
        <v>1.171</v>
      </c>
      <c r="M8">
        <v>0.53600000000000003</v>
      </c>
      <c r="N8">
        <v>0.27900000000000003</v>
      </c>
      <c r="O8">
        <v>0.59599999999999997</v>
      </c>
      <c r="P8">
        <v>0.52400000000000002</v>
      </c>
      <c r="T8" s="1" t="s">
        <v>12</v>
      </c>
      <c r="U8">
        <v>0</v>
      </c>
      <c r="V8">
        <v>0</v>
      </c>
      <c r="W8">
        <v>0</v>
      </c>
      <c r="Y8">
        <v>0.14299999999999999</v>
      </c>
      <c r="Z8">
        <v>0.13400000000000001</v>
      </c>
      <c r="AC8" s="6" t="s">
        <v>12</v>
      </c>
      <c r="AD8" s="29">
        <v>0</v>
      </c>
      <c r="AE8" s="29">
        <v>2</v>
      </c>
      <c r="AF8" s="29">
        <v>74</v>
      </c>
      <c r="AG8" s="29">
        <v>61</v>
      </c>
      <c r="AH8" s="29">
        <v>12</v>
      </c>
      <c r="AI8" s="29">
        <v>2</v>
      </c>
    </row>
    <row r="9" spans="1:35" x14ac:dyDescent="0.25">
      <c r="A9" s="1" t="s">
        <v>12</v>
      </c>
      <c r="B9">
        <v>1806</v>
      </c>
      <c r="C9">
        <v>1781</v>
      </c>
      <c r="D9">
        <v>1859</v>
      </c>
      <c r="E9">
        <v>1934</v>
      </c>
      <c r="F9">
        <v>961</v>
      </c>
      <c r="G9">
        <v>704</v>
      </c>
      <c r="J9" s="1" t="s">
        <v>13</v>
      </c>
      <c r="K9">
        <v>1.375</v>
      </c>
      <c r="L9">
        <v>1.4430000000000001</v>
      </c>
      <c r="M9">
        <v>0.53300000000000003</v>
      </c>
      <c r="N9">
        <v>0.20899999999999999</v>
      </c>
      <c r="O9">
        <v>0.52400000000000002</v>
      </c>
      <c r="P9">
        <v>0.434</v>
      </c>
      <c r="T9" s="1" t="s">
        <v>13</v>
      </c>
      <c r="U9">
        <v>0</v>
      </c>
      <c r="V9">
        <v>0</v>
      </c>
      <c r="W9">
        <v>0</v>
      </c>
      <c r="Y9">
        <v>0.1376</v>
      </c>
      <c r="Z9">
        <v>0.104</v>
      </c>
      <c r="AC9" s="6" t="s">
        <v>13</v>
      </c>
      <c r="AD9" s="29">
        <v>0</v>
      </c>
      <c r="AE9" s="29">
        <v>0</v>
      </c>
      <c r="AF9" s="29">
        <v>44</v>
      </c>
      <c r="AG9" s="29">
        <v>66</v>
      </c>
      <c r="AH9" s="29">
        <v>14</v>
      </c>
      <c r="AI9" s="29">
        <v>2</v>
      </c>
    </row>
    <row r="10" spans="1:35" x14ac:dyDescent="0.25">
      <c r="A10" s="1" t="s">
        <v>13</v>
      </c>
      <c r="B10">
        <v>1861</v>
      </c>
      <c r="C10">
        <v>1665</v>
      </c>
      <c r="D10">
        <v>1950</v>
      </c>
      <c r="E10">
        <v>1996</v>
      </c>
      <c r="F10">
        <v>965</v>
      </c>
      <c r="G10">
        <v>704</v>
      </c>
    </row>
    <row r="12" spans="1:35" x14ac:dyDescent="0.25">
      <c r="J12" s="11" t="s">
        <v>55</v>
      </c>
      <c r="K12" s="11"/>
      <c r="L12" s="11"/>
      <c r="M12" s="11"/>
      <c r="N12" s="11"/>
      <c r="O12" s="11"/>
      <c r="P12" s="11"/>
      <c r="T12" s="17" t="s">
        <v>46</v>
      </c>
      <c r="U12" s="17"/>
      <c r="V12" s="17"/>
      <c r="AC12" s="11" t="s">
        <v>55</v>
      </c>
      <c r="AD12" s="11"/>
      <c r="AE12" s="11"/>
      <c r="AF12" s="11"/>
      <c r="AG12" s="11"/>
      <c r="AH12" s="11"/>
      <c r="AI12" s="11"/>
    </row>
    <row r="13" spans="1:35" x14ac:dyDescent="0.25">
      <c r="C13" t="s">
        <v>3</v>
      </c>
      <c r="J13" s="10" t="s">
        <v>45</v>
      </c>
      <c r="K13" s="10"/>
      <c r="L13" s="10"/>
      <c r="M13" s="10"/>
      <c r="N13" s="10"/>
      <c r="O13" s="10"/>
      <c r="P13" s="10"/>
      <c r="U13" s="1" t="s">
        <v>0</v>
      </c>
      <c r="V13" s="1" t="s">
        <v>1</v>
      </c>
      <c r="AC13" s="25" t="s">
        <v>47</v>
      </c>
      <c r="AD13" s="26"/>
      <c r="AE13" s="26"/>
      <c r="AF13" s="26"/>
      <c r="AG13" s="26"/>
      <c r="AH13" s="26"/>
      <c r="AI13" s="27"/>
    </row>
    <row r="14" spans="1:35" ht="44.25" customHeight="1" x14ac:dyDescent="0.25">
      <c r="A14" s="11" t="s">
        <v>55</v>
      </c>
      <c r="B14" s="11"/>
      <c r="C14" s="11"/>
      <c r="D14" s="11"/>
      <c r="E14" s="11"/>
      <c r="F14" s="11"/>
      <c r="G14" s="11"/>
      <c r="J14" s="5"/>
      <c r="K14" s="1" t="s">
        <v>5</v>
      </c>
      <c r="L14" s="6" t="s">
        <v>6</v>
      </c>
      <c r="M14" s="1" t="s">
        <v>7</v>
      </c>
      <c r="N14" s="6" t="s">
        <v>8</v>
      </c>
      <c r="O14" s="1" t="s">
        <v>1</v>
      </c>
      <c r="P14" s="1" t="s">
        <v>0</v>
      </c>
      <c r="T14" s="1" t="s">
        <v>9</v>
      </c>
      <c r="U14" s="21">
        <v>1</v>
      </c>
      <c r="V14" s="21">
        <v>1</v>
      </c>
      <c r="AC14" s="5"/>
      <c r="AD14" s="1" t="s">
        <v>5</v>
      </c>
      <c r="AE14" s="6" t="s">
        <v>6</v>
      </c>
      <c r="AF14" s="1" t="s">
        <v>7</v>
      </c>
      <c r="AG14" s="6" t="s">
        <v>8</v>
      </c>
      <c r="AH14" s="1" t="s">
        <v>1</v>
      </c>
      <c r="AI14" s="1" t="s">
        <v>0</v>
      </c>
    </row>
    <row r="15" spans="1:35" x14ac:dyDescent="0.25">
      <c r="A15" s="10" t="s">
        <v>4</v>
      </c>
      <c r="B15" s="10"/>
      <c r="C15" s="10"/>
      <c r="D15" s="10"/>
      <c r="E15" s="10"/>
      <c r="F15" s="10"/>
      <c r="G15" s="10"/>
      <c r="J15" s="1" t="s">
        <v>9</v>
      </c>
      <c r="K15">
        <v>2.4489999999999998</v>
      </c>
      <c r="L15">
        <v>2.1520000000000001</v>
      </c>
      <c r="M15">
        <v>0.433</v>
      </c>
      <c r="N15">
        <v>0.23300000000000001</v>
      </c>
      <c r="O15">
        <v>0.59</v>
      </c>
      <c r="P15">
        <v>0.71499999999999997</v>
      </c>
      <c r="T15" s="1" t="s">
        <v>10</v>
      </c>
      <c r="U15" s="21">
        <v>1</v>
      </c>
      <c r="V15" s="21">
        <v>1</v>
      </c>
      <c r="AC15" s="1" t="s">
        <v>9</v>
      </c>
      <c r="AD15">
        <v>85</v>
      </c>
      <c r="AE15">
        <v>53</v>
      </c>
      <c r="AF15">
        <v>93</v>
      </c>
      <c r="AG15">
        <v>74</v>
      </c>
      <c r="AH15">
        <v>15</v>
      </c>
      <c r="AI15">
        <v>6</v>
      </c>
    </row>
    <row r="16" spans="1:35" ht="105" x14ac:dyDescent="0.25">
      <c r="A16" s="5"/>
      <c r="B16" s="1" t="s">
        <v>5</v>
      </c>
      <c r="C16" s="6" t="s">
        <v>6</v>
      </c>
      <c r="D16" s="1" t="s">
        <v>7</v>
      </c>
      <c r="E16" s="6" t="s">
        <v>8</v>
      </c>
      <c r="F16" s="1" t="s">
        <v>1</v>
      </c>
      <c r="G16" s="1" t="s">
        <v>0</v>
      </c>
      <c r="J16" s="1" t="s">
        <v>10</v>
      </c>
      <c r="K16">
        <v>2.62</v>
      </c>
      <c r="L16">
        <v>2.4990000000000001</v>
      </c>
      <c r="M16">
        <v>0.46500000000000002</v>
      </c>
      <c r="N16">
        <v>0.33100000000000002</v>
      </c>
      <c r="O16">
        <v>0.66700000000000004</v>
      </c>
      <c r="P16">
        <v>0.76100000000000001</v>
      </c>
      <c r="T16" s="1" t="s">
        <v>11</v>
      </c>
      <c r="U16" s="21">
        <v>0.75</v>
      </c>
      <c r="V16" s="21">
        <v>1</v>
      </c>
      <c r="AC16" s="1" t="s">
        <v>10</v>
      </c>
      <c r="AD16">
        <v>17</v>
      </c>
      <c r="AE16">
        <v>35</v>
      </c>
      <c r="AF16">
        <v>87</v>
      </c>
      <c r="AG16">
        <v>71</v>
      </c>
      <c r="AH16">
        <v>38</v>
      </c>
      <c r="AI16">
        <v>7</v>
      </c>
    </row>
    <row r="17" spans="1:35" x14ac:dyDescent="0.25">
      <c r="A17" s="1" t="s">
        <v>9</v>
      </c>
      <c r="B17">
        <v>2488</v>
      </c>
      <c r="C17">
        <v>2496</v>
      </c>
      <c r="D17">
        <v>2764</v>
      </c>
      <c r="E17">
        <v>2822</v>
      </c>
      <c r="F17">
        <v>1425</v>
      </c>
      <c r="G17">
        <v>1266</v>
      </c>
      <c r="J17" s="1" t="s">
        <v>11</v>
      </c>
      <c r="K17">
        <v>2.2519999999999998</v>
      </c>
      <c r="L17">
        <v>2.1709999999999998</v>
      </c>
      <c r="M17">
        <v>0.443</v>
      </c>
      <c r="N17">
        <v>0.24199999999999999</v>
      </c>
      <c r="O17">
        <v>0.71799999999999997</v>
      </c>
      <c r="P17">
        <v>0.749</v>
      </c>
      <c r="T17" s="1" t="s">
        <v>12</v>
      </c>
      <c r="U17" s="21">
        <v>1</v>
      </c>
      <c r="V17" s="21">
        <v>1</v>
      </c>
      <c r="AC17" s="1" t="s">
        <v>11</v>
      </c>
      <c r="AD17">
        <v>33</v>
      </c>
      <c r="AE17">
        <v>48</v>
      </c>
      <c r="AF17">
        <v>75</v>
      </c>
      <c r="AG17">
        <v>84</v>
      </c>
      <c r="AH17">
        <v>24</v>
      </c>
      <c r="AI17">
        <v>7</v>
      </c>
    </row>
    <row r="18" spans="1:35" x14ac:dyDescent="0.25">
      <c r="A18" s="1" t="s">
        <v>10</v>
      </c>
      <c r="B18">
        <v>2631</v>
      </c>
      <c r="C18">
        <v>2781</v>
      </c>
      <c r="D18">
        <v>2936</v>
      </c>
      <c r="E18">
        <v>2831</v>
      </c>
      <c r="F18">
        <v>1446</v>
      </c>
      <c r="G18">
        <v>1278</v>
      </c>
      <c r="J18" s="1" t="s">
        <v>12</v>
      </c>
      <c r="K18">
        <v>2.2050000000000001</v>
      </c>
      <c r="L18">
        <v>2.0910000000000002</v>
      </c>
      <c r="M18">
        <v>0.45400000000000001</v>
      </c>
      <c r="N18">
        <v>0.246</v>
      </c>
      <c r="O18">
        <v>0.628</v>
      </c>
      <c r="P18">
        <v>0.875</v>
      </c>
      <c r="T18" s="1" t="s">
        <v>13</v>
      </c>
      <c r="U18" s="21">
        <v>1</v>
      </c>
      <c r="V18" s="21">
        <v>1</v>
      </c>
      <c r="AC18" s="1" t="s">
        <v>12</v>
      </c>
      <c r="AD18">
        <v>69</v>
      </c>
      <c r="AE18">
        <v>64</v>
      </c>
      <c r="AF18">
        <v>99</v>
      </c>
      <c r="AG18">
        <v>76</v>
      </c>
      <c r="AH18">
        <v>21</v>
      </c>
      <c r="AI18">
        <v>30</v>
      </c>
    </row>
    <row r="19" spans="1:35" x14ac:dyDescent="0.25">
      <c r="A19" s="1" t="s">
        <v>11</v>
      </c>
      <c r="B19">
        <v>2814</v>
      </c>
      <c r="C19">
        <v>2576</v>
      </c>
      <c r="D19">
        <v>2811</v>
      </c>
      <c r="E19">
        <v>2784</v>
      </c>
      <c r="F19">
        <v>1492</v>
      </c>
      <c r="G19">
        <v>1343</v>
      </c>
      <c r="J19" s="1" t="s">
        <v>13</v>
      </c>
      <c r="K19">
        <v>2.1520000000000001</v>
      </c>
      <c r="L19">
        <v>2.2610000000000001</v>
      </c>
      <c r="M19">
        <v>0.443</v>
      </c>
      <c r="N19">
        <v>0.23400000000000001</v>
      </c>
      <c r="O19">
        <v>0.59499999999999997</v>
      </c>
      <c r="P19">
        <v>0.94599999999999995</v>
      </c>
      <c r="AC19" s="1" t="s">
        <v>13</v>
      </c>
      <c r="AD19">
        <v>41</v>
      </c>
      <c r="AE19">
        <v>23</v>
      </c>
      <c r="AF19">
        <v>82</v>
      </c>
      <c r="AG19">
        <v>87</v>
      </c>
      <c r="AH19">
        <v>16</v>
      </c>
      <c r="AI19">
        <v>9</v>
      </c>
    </row>
    <row r="20" spans="1:35" x14ac:dyDescent="0.25">
      <c r="A20" s="1" t="s">
        <v>12</v>
      </c>
      <c r="B20">
        <v>2767</v>
      </c>
      <c r="C20">
        <v>2783</v>
      </c>
      <c r="D20">
        <v>2943</v>
      </c>
      <c r="E20">
        <v>2816</v>
      </c>
      <c r="F20">
        <v>1473</v>
      </c>
      <c r="G20">
        <v>1433</v>
      </c>
      <c r="T20" s="22" t="s">
        <v>17</v>
      </c>
      <c r="U20" s="22"/>
      <c r="V20" s="22"/>
    </row>
    <row r="21" spans="1:35" x14ac:dyDescent="0.25">
      <c r="A21" s="1" t="s">
        <v>13</v>
      </c>
      <c r="B21">
        <v>2666</v>
      </c>
      <c r="C21">
        <v>2698</v>
      </c>
      <c r="D21">
        <v>2903</v>
      </c>
      <c r="E21">
        <v>2940</v>
      </c>
      <c r="F21">
        <v>1339</v>
      </c>
      <c r="G21">
        <v>1341</v>
      </c>
      <c r="T21" s="7"/>
      <c r="U21" s="1" t="s">
        <v>0</v>
      </c>
      <c r="V21" s="1" t="s">
        <v>1</v>
      </c>
    </row>
    <row r="22" spans="1:35" x14ac:dyDescent="0.25">
      <c r="J22" s="11" t="s">
        <v>56</v>
      </c>
      <c r="K22" s="11"/>
      <c r="L22" s="11"/>
      <c r="M22" s="11"/>
      <c r="N22" s="11"/>
      <c r="O22" s="11"/>
      <c r="P22" s="11"/>
      <c r="T22" s="1" t="s">
        <v>9</v>
      </c>
      <c r="U22" s="4">
        <v>0.13830000000000001</v>
      </c>
      <c r="V22" s="4">
        <v>0.14499999999999999</v>
      </c>
    </row>
    <row r="23" spans="1:35" x14ac:dyDescent="0.25">
      <c r="J23" s="10" t="s">
        <v>45</v>
      </c>
      <c r="K23" s="10"/>
      <c r="L23" s="10"/>
      <c r="M23" s="10"/>
      <c r="N23" s="10"/>
      <c r="O23" s="10"/>
      <c r="P23" s="10"/>
      <c r="T23" s="1" t="s">
        <v>10</v>
      </c>
      <c r="U23" s="4">
        <v>0.13289999999999999</v>
      </c>
      <c r="V23" s="4">
        <v>0.14369999999999999</v>
      </c>
    </row>
    <row r="24" spans="1:35" ht="105" x14ac:dyDescent="0.25">
      <c r="J24" s="5"/>
      <c r="K24" s="1" t="s">
        <v>5</v>
      </c>
      <c r="L24" s="6" t="s">
        <v>6</v>
      </c>
      <c r="M24" s="1" t="s">
        <v>7</v>
      </c>
      <c r="N24" s="6" t="s">
        <v>8</v>
      </c>
      <c r="O24" s="1" t="s">
        <v>1</v>
      </c>
      <c r="P24" s="1" t="s">
        <v>0</v>
      </c>
      <c r="T24" s="1" t="s">
        <v>11</v>
      </c>
      <c r="U24" s="4">
        <v>0.13478000000000001</v>
      </c>
      <c r="V24" s="4">
        <v>0.1419</v>
      </c>
    </row>
    <row r="25" spans="1:35" x14ac:dyDescent="0.25">
      <c r="A25" s="11" t="s">
        <v>56</v>
      </c>
      <c r="B25" s="11"/>
      <c r="C25" s="11"/>
      <c r="D25" s="11"/>
      <c r="E25" s="11"/>
      <c r="F25" s="11"/>
      <c r="G25" s="11"/>
      <c r="J25" s="1" t="s">
        <v>9</v>
      </c>
      <c r="K25">
        <v>4.0389999999999997</v>
      </c>
      <c r="L25">
        <v>3.92</v>
      </c>
      <c r="M25">
        <v>0.57499999999999996</v>
      </c>
      <c r="N25">
        <v>0.25900000000000001</v>
      </c>
      <c r="O25">
        <v>0.70099999999999996</v>
      </c>
      <c r="P25">
        <v>1.387</v>
      </c>
      <c r="T25" s="1" t="s">
        <v>12</v>
      </c>
      <c r="U25" s="4">
        <v>0.10603</v>
      </c>
      <c r="V25" s="4">
        <v>0.14549999999999999</v>
      </c>
    </row>
    <row r="26" spans="1:35" x14ac:dyDescent="0.25">
      <c r="A26" s="10" t="s">
        <v>4</v>
      </c>
      <c r="B26" s="10"/>
      <c r="C26" s="10"/>
      <c r="D26" s="10"/>
      <c r="E26" s="10"/>
      <c r="F26" s="10"/>
      <c r="G26" s="10"/>
      <c r="J26" s="1" t="s">
        <v>10</v>
      </c>
      <c r="K26">
        <v>3.802</v>
      </c>
      <c r="L26">
        <v>3.7509999999999999</v>
      </c>
      <c r="M26">
        <v>0.51600000000000001</v>
      </c>
      <c r="N26">
        <v>0.29199999999999998</v>
      </c>
      <c r="O26">
        <v>0.69099999999999995</v>
      </c>
      <c r="P26">
        <v>0.82599999999999996</v>
      </c>
      <c r="T26" s="1" t="s">
        <v>13</v>
      </c>
      <c r="U26" s="4">
        <v>0.13478000000000001</v>
      </c>
      <c r="V26" s="4">
        <v>0.14016999999999999</v>
      </c>
      <c r="AC26" s="11" t="s">
        <v>56</v>
      </c>
      <c r="AD26" s="11"/>
      <c r="AE26" s="11"/>
      <c r="AF26" s="11"/>
      <c r="AG26" s="11"/>
      <c r="AH26" s="11"/>
      <c r="AI26" s="11"/>
    </row>
    <row r="27" spans="1:35" ht="34.5" customHeight="1" x14ac:dyDescent="0.25">
      <c r="A27" s="5"/>
      <c r="B27" s="1" t="s">
        <v>5</v>
      </c>
      <c r="C27" s="6" t="s">
        <v>6</v>
      </c>
      <c r="D27" s="1" t="s">
        <v>7</v>
      </c>
      <c r="E27" s="6" t="s">
        <v>8</v>
      </c>
      <c r="F27" s="1" t="s">
        <v>1</v>
      </c>
      <c r="G27" s="1" t="s">
        <v>0</v>
      </c>
      <c r="J27" s="1" t="s">
        <v>11</v>
      </c>
      <c r="K27">
        <v>3.8849999999999998</v>
      </c>
      <c r="L27">
        <v>3.794</v>
      </c>
      <c r="M27">
        <v>0.45700000000000002</v>
      </c>
      <c r="N27">
        <v>0.28499999999999998</v>
      </c>
      <c r="O27">
        <v>0.97099999999999997</v>
      </c>
      <c r="P27">
        <v>1.03</v>
      </c>
      <c r="AC27" s="25" t="s">
        <v>47</v>
      </c>
      <c r="AD27" s="26"/>
      <c r="AE27" s="26"/>
      <c r="AF27" s="26"/>
      <c r="AG27" s="26"/>
      <c r="AH27" s="26"/>
      <c r="AI27" s="27"/>
    </row>
    <row r="28" spans="1:35" ht="105" x14ac:dyDescent="0.25">
      <c r="A28" s="1" t="s">
        <v>9</v>
      </c>
      <c r="B28">
        <v>2469</v>
      </c>
      <c r="C28">
        <v>2786</v>
      </c>
      <c r="D28">
        <v>3016</v>
      </c>
      <c r="E28">
        <v>2997</v>
      </c>
      <c r="F28">
        <v>1912</v>
      </c>
      <c r="G28">
        <v>1717</v>
      </c>
      <c r="J28" s="1" t="s">
        <v>12</v>
      </c>
      <c r="K28">
        <v>3.7490000000000001</v>
      </c>
      <c r="L28">
        <v>3.7869999999999999</v>
      </c>
      <c r="M28">
        <v>0.55100000000000005</v>
      </c>
      <c r="N28">
        <v>0.31</v>
      </c>
      <c r="O28">
        <v>0.77400000000000002</v>
      </c>
      <c r="P28">
        <v>0.94299999999999995</v>
      </c>
      <c r="AC28" s="5"/>
      <c r="AD28" s="1" t="s">
        <v>5</v>
      </c>
      <c r="AE28" s="6" t="s">
        <v>6</v>
      </c>
      <c r="AF28" s="1" t="s">
        <v>7</v>
      </c>
      <c r="AG28" s="6" t="s">
        <v>8</v>
      </c>
      <c r="AH28" s="1" t="s">
        <v>1</v>
      </c>
      <c r="AI28" s="1" t="s">
        <v>0</v>
      </c>
    </row>
    <row r="29" spans="1:35" x14ac:dyDescent="0.25">
      <c r="A29" s="1" t="s">
        <v>10</v>
      </c>
      <c r="B29">
        <v>2966</v>
      </c>
      <c r="C29">
        <v>2822</v>
      </c>
      <c r="D29">
        <v>3053</v>
      </c>
      <c r="E29">
        <v>2952</v>
      </c>
      <c r="F29">
        <v>1833</v>
      </c>
      <c r="G29">
        <v>1739</v>
      </c>
      <c r="J29" s="1" t="s">
        <v>13</v>
      </c>
      <c r="K29">
        <v>4.0529999999999999</v>
      </c>
      <c r="L29">
        <v>4.2370000000000001</v>
      </c>
      <c r="M29">
        <v>0.48399999999999999</v>
      </c>
      <c r="N29">
        <v>0.32100000000000001</v>
      </c>
      <c r="O29">
        <v>0.68</v>
      </c>
      <c r="P29">
        <v>0.996</v>
      </c>
      <c r="AC29" s="1" t="s">
        <v>9</v>
      </c>
      <c r="AD29">
        <v>42</v>
      </c>
      <c r="AE29">
        <v>39</v>
      </c>
      <c r="AF29">
        <v>39</v>
      </c>
      <c r="AG29">
        <v>61</v>
      </c>
      <c r="AH29">
        <v>39</v>
      </c>
      <c r="AI29">
        <v>11</v>
      </c>
    </row>
    <row r="30" spans="1:35" x14ac:dyDescent="0.25">
      <c r="A30" s="1" t="s">
        <v>11</v>
      </c>
      <c r="B30">
        <v>2772</v>
      </c>
      <c r="C30">
        <v>2942</v>
      </c>
      <c r="D30">
        <v>2961</v>
      </c>
      <c r="E30">
        <v>3077</v>
      </c>
      <c r="F30">
        <v>1854</v>
      </c>
      <c r="G30">
        <v>1739</v>
      </c>
      <c r="T30" s="11" t="s">
        <v>55</v>
      </c>
      <c r="U30" s="11"/>
      <c r="V30" s="11"/>
      <c r="W30" s="11"/>
      <c r="X30" s="11"/>
      <c r="Y30" s="11"/>
      <c r="Z30" s="11"/>
      <c r="AC30" s="1" t="s">
        <v>10</v>
      </c>
      <c r="AD30">
        <v>42</v>
      </c>
      <c r="AE30">
        <v>41</v>
      </c>
      <c r="AF30">
        <v>54</v>
      </c>
      <c r="AG30">
        <v>42</v>
      </c>
      <c r="AH30">
        <v>34</v>
      </c>
      <c r="AI30">
        <v>18</v>
      </c>
    </row>
    <row r="31" spans="1:35" x14ac:dyDescent="0.25">
      <c r="A31" s="1" t="s">
        <v>12</v>
      </c>
      <c r="B31">
        <v>2775</v>
      </c>
      <c r="C31">
        <v>2764</v>
      </c>
      <c r="D31">
        <v>2945</v>
      </c>
      <c r="E31">
        <v>3052</v>
      </c>
      <c r="F31">
        <v>1888</v>
      </c>
      <c r="G31">
        <v>1776</v>
      </c>
      <c r="T31" s="10" t="s">
        <v>16</v>
      </c>
      <c r="U31" s="10"/>
      <c r="V31" s="10"/>
      <c r="W31" s="10"/>
      <c r="X31" s="10"/>
      <c r="Y31" s="10"/>
      <c r="Z31" s="10"/>
      <c r="AC31" s="1" t="s">
        <v>11</v>
      </c>
      <c r="AD31">
        <v>74</v>
      </c>
      <c r="AE31">
        <v>49</v>
      </c>
      <c r="AF31">
        <v>53</v>
      </c>
      <c r="AG31">
        <v>48</v>
      </c>
      <c r="AH31">
        <v>41</v>
      </c>
      <c r="AI31">
        <v>18</v>
      </c>
    </row>
    <row r="32" spans="1:35" ht="22.5" customHeight="1" x14ac:dyDescent="0.25">
      <c r="A32" s="1" t="s">
        <v>13</v>
      </c>
      <c r="B32">
        <v>2691</v>
      </c>
      <c r="C32">
        <v>2885</v>
      </c>
      <c r="D32">
        <v>3102</v>
      </c>
      <c r="E32">
        <v>3010</v>
      </c>
      <c r="F32">
        <v>1914</v>
      </c>
      <c r="G32">
        <v>1783</v>
      </c>
      <c r="T32" s="5"/>
      <c r="U32" s="1" t="s">
        <v>5</v>
      </c>
      <c r="V32" s="6" t="s">
        <v>6</v>
      </c>
      <c r="W32" s="1" t="s">
        <v>7</v>
      </c>
      <c r="X32" s="6" t="s">
        <v>8</v>
      </c>
      <c r="Y32" s="1" t="s">
        <v>1</v>
      </c>
      <c r="Z32" s="1" t="s">
        <v>0</v>
      </c>
      <c r="AC32" s="1" t="s">
        <v>12</v>
      </c>
      <c r="AD32">
        <v>40</v>
      </c>
      <c r="AE32">
        <v>19</v>
      </c>
      <c r="AF32">
        <v>72</v>
      </c>
      <c r="AG32">
        <v>57</v>
      </c>
      <c r="AH32">
        <v>31</v>
      </c>
      <c r="AI32">
        <v>14</v>
      </c>
    </row>
    <row r="33" spans="1:35" x14ac:dyDescent="0.25">
      <c r="J33" s="11" t="s">
        <v>57</v>
      </c>
      <c r="K33" s="11"/>
      <c r="L33" s="11"/>
      <c r="M33" s="11"/>
      <c r="N33" s="11"/>
      <c r="O33" s="11"/>
      <c r="P33" s="11"/>
      <c r="T33" s="1" t="s">
        <v>9</v>
      </c>
      <c r="U33">
        <v>0</v>
      </c>
      <c r="V33">
        <v>0</v>
      </c>
      <c r="W33">
        <v>0</v>
      </c>
      <c r="X33">
        <v>0</v>
      </c>
      <c r="Y33">
        <v>0.26400000000000001</v>
      </c>
      <c r="Z33">
        <v>0.27889999999999998</v>
      </c>
      <c r="AC33" s="1" t="s">
        <v>13</v>
      </c>
      <c r="AD33">
        <v>13</v>
      </c>
      <c r="AE33">
        <v>35</v>
      </c>
      <c r="AF33">
        <v>65</v>
      </c>
      <c r="AG33">
        <v>23</v>
      </c>
      <c r="AH33">
        <v>24</v>
      </c>
      <c r="AI33">
        <v>19</v>
      </c>
    </row>
    <row r="34" spans="1:35" x14ac:dyDescent="0.25">
      <c r="J34" s="10" t="s">
        <v>45</v>
      </c>
      <c r="K34" s="10"/>
      <c r="L34" s="10"/>
      <c r="M34" s="10"/>
      <c r="N34" s="10"/>
      <c r="O34" s="10"/>
      <c r="P34" s="10"/>
      <c r="T34" s="1" t="s">
        <v>10</v>
      </c>
      <c r="U34">
        <v>0</v>
      </c>
      <c r="V34">
        <v>0</v>
      </c>
      <c r="W34">
        <v>0</v>
      </c>
      <c r="X34">
        <v>0</v>
      </c>
      <c r="Y34">
        <v>0.26650000000000001</v>
      </c>
      <c r="Z34">
        <v>0.26600000000000001</v>
      </c>
    </row>
    <row r="35" spans="1:35" ht="34.5" customHeight="1" x14ac:dyDescent="0.25">
      <c r="J35" s="5"/>
      <c r="K35" s="1" t="s">
        <v>5</v>
      </c>
      <c r="L35" s="6" t="s">
        <v>6</v>
      </c>
      <c r="M35" s="1" t="s">
        <v>7</v>
      </c>
      <c r="N35" s="6" t="s">
        <v>8</v>
      </c>
      <c r="O35" s="1" t="s">
        <v>1</v>
      </c>
      <c r="P35" s="1" t="s">
        <v>0</v>
      </c>
      <c r="T35" s="1" t="s">
        <v>11</v>
      </c>
      <c r="U35">
        <v>0</v>
      </c>
      <c r="V35">
        <v>0</v>
      </c>
      <c r="W35">
        <v>0</v>
      </c>
      <c r="X35">
        <v>0</v>
      </c>
      <c r="Y35">
        <v>0.25700000000000001</v>
      </c>
      <c r="Z35">
        <v>0.247</v>
      </c>
    </row>
    <row r="36" spans="1:35" x14ac:dyDescent="0.25">
      <c r="A36" s="11" t="s">
        <v>57</v>
      </c>
      <c r="B36" s="11"/>
      <c r="C36" s="11"/>
      <c r="D36" s="11"/>
      <c r="E36" s="11"/>
      <c r="F36" s="11"/>
      <c r="G36" s="11"/>
      <c r="J36" s="1" t="s">
        <v>9</v>
      </c>
      <c r="K36">
        <v>4.1980000000000004</v>
      </c>
      <c r="L36">
        <v>4.0369999999999999</v>
      </c>
      <c r="M36">
        <v>0.96699999999999997</v>
      </c>
      <c r="N36">
        <v>0.41599999999999998</v>
      </c>
      <c r="O36">
        <v>0.98399999999999999</v>
      </c>
      <c r="P36">
        <v>1.1160000000000001</v>
      </c>
      <c r="T36" s="1" t="s">
        <v>12</v>
      </c>
      <c r="U36">
        <v>0</v>
      </c>
      <c r="V36">
        <v>0</v>
      </c>
      <c r="W36">
        <v>0</v>
      </c>
      <c r="X36">
        <v>0</v>
      </c>
      <c r="Y36">
        <v>0.25769999999999998</v>
      </c>
      <c r="Z36">
        <v>0.28420000000000001</v>
      </c>
    </row>
    <row r="37" spans="1:35" x14ac:dyDescent="0.25">
      <c r="A37" s="10" t="s">
        <v>4</v>
      </c>
      <c r="B37" s="10"/>
      <c r="C37" s="10"/>
      <c r="D37" s="10"/>
      <c r="E37" s="10"/>
      <c r="F37" s="10"/>
      <c r="G37" s="10"/>
      <c r="J37" s="1" t="s">
        <v>10</v>
      </c>
      <c r="K37">
        <v>4.0410000000000004</v>
      </c>
      <c r="L37">
        <v>3.8130000000000002</v>
      </c>
      <c r="M37">
        <v>1.0660000000000001</v>
      </c>
      <c r="N37">
        <v>0.58899999999999997</v>
      </c>
      <c r="O37">
        <v>0.77200000000000002</v>
      </c>
      <c r="P37">
        <v>1.248</v>
      </c>
      <c r="T37" s="1" t="s">
        <v>13</v>
      </c>
      <c r="U37">
        <v>0</v>
      </c>
      <c r="V37">
        <v>0</v>
      </c>
      <c r="W37">
        <v>0</v>
      </c>
      <c r="X37">
        <v>0</v>
      </c>
      <c r="Y37">
        <v>0.25700000000000001</v>
      </c>
      <c r="Z37">
        <v>0.23100000000000001</v>
      </c>
    </row>
    <row r="38" spans="1:35" ht="105" x14ac:dyDescent="0.25">
      <c r="A38" s="5"/>
      <c r="B38" s="1" t="s">
        <v>5</v>
      </c>
      <c r="C38" s="6" t="s">
        <v>6</v>
      </c>
      <c r="D38" s="1" t="s">
        <v>7</v>
      </c>
      <c r="E38" s="6" t="s">
        <v>8</v>
      </c>
      <c r="F38" s="1" t="s">
        <v>1</v>
      </c>
      <c r="G38" s="1" t="s">
        <v>0</v>
      </c>
      <c r="J38" s="1" t="s">
        <v>11</v>
      </c>
      <c r="K38">
        <v>3.68</v>
      </c>
      <c r="L38">
        <v>3.9620000000000002</v>
      </c>
      <c r="M38">
        <v>1.002</v>
      </c>
      <c r="N38">
        <v>0.52600000000000002</v>
      </c>
      <c r="O38">
        <v>1.3839999999999999</v>
      </c>
      <c r="P38">
        <v>1.7330000000000001</v>
      </c>
      <c r="AC38" s="11" t="s">
        <v>57</v>
      </c>
      <c r="AD38" s="11"/>
      <c r="AE38" s="11"/>
      <c r="AF38" s="11"/>
      <c r="AG38" s="11"/>
      <c r="AH38" s="11"/>
      <c r="AI38" s="11"/>
    </row>
    <row r="39" spans="1:35" x14ac:dyDescent="0.25">
      <c r="A39" s="1" t="s">
        <v>9</v>
      </c>
      <c r="B39">
        <v>3139</v>
      </c>
      <c r="C39">
        <v>3345</v>
      </c>
      <c r="D39">
        <v>3140</v>
      </c>
      <c r="E39">
        <v>3221</v>
      </c>
      <c r="F39">
        <v>2318</v>
      </c>
      <c r="G39">
        <v>2189</v>
      </c>
      <c r="J39" s="1" t="s">
        <v>12</v>
      </c>
      <c r="K39">
        <v>4.141</v>
      </c>
      <c r="L39">
        <v>3.8340000000000001</v>
      </c>
      <c r="M39">
        <v>0.89700000000000002</v>
      </c>
      <c r="N39">
        <v>0.48799999999999999</v>
      </c>
      <c r="O39">
        <v>1.1140000000000001</v>
      </c>
      <c r="P39">
        <v>1.64</v>
      </c>
      <c r="T39" s="22" t="s">
        <v>17</v>
      </c>
      <c r="U39" s="22"/>
      <c r="V39" s="22"/>
      <c r="AC39" s="25" t="s">
        <v>47</v>
      </c>
      <c r="AD39" s="26"/>
      <c r="AE39" s="26"/>
      <c r="AF39" s="26"/>
      <c r="AG39" s="26"/>
      <c r="AH39" s="26"/>
      <c r="AI39" s="27"/>
    </row>
    <row r="40" spans="1:35" ht="105" x14ac:dyDescent="0.25">
      <c r="A40" s="1" t="s">
        <v>10</v>
      </c>
      <c r="B40">
        <v>3259</v>
      </c>
      <c r="C40">
        <v>3219</v>
      </c>
      <c r="D40">
        <v>2952</v>
      </c>
      <c r="E40">
        <v>3121</v>
      </c>
      <c r="F40">
        <v>2302</v>
      </c>
      <c r="G40">
        <v>2229</v>
      </c>
      <c r="J40" s="1" t="s">
        <v>13</v>
      </c>
      <c r="K40">
        <v>4.1619999999999999</v>
      </c>
      <c r="L40">
        <v>3.8439999999999999</v>
      </c>
      <c r="M40">
        <v>0.91800000000000004</v>
      </c>
      <c r="N40">
        <v>0.46100000000000002</v>
      </c>
      <c r="O40">
        <v>1.373</v>
      </c>
      <c r="P40">
        <v>1.8759999999999999</v>
      </c>
      <c r="T40" s="7"/>
      <c r="U40" s="1" t="s">
        <v>0</v>
      </c>
      <c r="V40" s="1" t="s">
        <v>1</v>
      </c>
      <c r="AC40" s="5"/>
      <c r="AD40" s="1" t="s">
        <v>5</v>
      </c>
      <c r="AE40" s="6" t="s">
        <v>6</v>
      </c>
      <c r="AF40" s="1" t="s">
        <v>7</v>
      </c>
      <c r="AG40" s="6" t="s">
        <v>8</v>
      </c>
      <c r="AH40" s="1" t="s">
        <v>1</v>
      </c>
      <c r="AI40" s="1" t="s">
        <v>0</v>
      </c>
    </row>
    <row r="41" spans="1:35" x14ac:dyDescent="0.25">
      <c r="A41" s="1" t="s">
        <v>11</v>
      </c>
      <c r="B41">
        <v>3325</v>
      </c>
      <c r="C41">
        <v>3220</v>
      </c>
      <c r="D41">
        <v>3055</v>
      </c>
      <c r="E41">
        <v>3133</v>
      </c>
      <c r="F41">
        <v>2285</v>
      </c>
      <c r="G41">
        <v>2256</v>
      </c>
      <c r="T41" s="1" t="s">
        <v>9</v>
      </c>
      <c r="U41" s="4">
        <v>0.30185000000000001</v>
      </c>
      <c r="V41" s="4">
        <v>0.28835</v>
      </c>
      <c r="AC41" s="1" t="s">
        <v>9</v>
      </c>
      <c r="AD41">
        <v>118</v>
      </c>
      <c r="AE41">
        <v>142</v>
      </c>
      <c r="AF41">
        <v>72</v>
      </c>
      <c r="AG41">
        <v>53</v>
      </c>
      <c r="AH41">
        <v>56</v>
      </c>
      <c r="AI41">
        <v>77</v>
      </c>
    </row>
    <row r="42" spans="1:35" x14ac:dyDescent="0.25">
      <c r="A42" s="1" t="s">
        <v>12</v>
      </c>
      <c r="B42">
        <v>3314</v>
      </c>
      <c r="C42">
        <v>3332</v>
      </c>
      <c r="D42">
        <v>3040</v>
      </c>
      <c r="E42">
        <v>3046</v>
      </c>
      <c r="F42">
        <v>2300</v>
      </c>
      <c r="G42">
        <v>2226</v>
      </c>
      <c r="T42" s="1" t="s">
        <v>10</v>
      </c>
      <c r="U42" s="4">
        <v>0.30647999999999997</v>
      </c>
      <c r="V42" s="4">
        <v>0.28047</v>
      </c>
      <c r="AC42" s="1" t="s">
        <v>10</v>
      </c>
      <c r="AD42">
        <v>128</v>
      </c>
      <c r="AE42">
        <v>139</v>
      </c>
      <c r="AF42">
        <v>15</v>
      </c>
      <c r="AG42">
        <v>43</v>
      </c>
      <c r="AH42">
        <v>33</v>
      </c>
      <c r="AI42">
        <v>65</v>
      </c>
    </row>
    <row r="43" spans="1:35" x14ac:dyDescent="0.25">
      <c r="A43" s="1" t="s">
        <v>13</v>
      </c>
      <c r="B43">
        <v>3315</v>
      </c>
      <c r="C43">
        <v>3434</v>
      </c>
      <c r="D43">
        <v>3153</v>
      </c>
      <c r="E43">
        <v>3028</v>
      </c>
      <c r="F43">
        <v>2353</v>
      </c>
      <c r="G43">
        <v>2234</v>
      </c>
      <c r="T43" s="1" t="s">
        <v>11</v>
      </c>
      <c r="U43" s="4">
        <v>0.25635999999999998</v>
      </c>
      <c r="V43" s="4">
        <v>0.28089999999999998</v>
      </c>
      <c r="AC43" s="1" t="s">
        <v>11</v>
      </c>
      <c r="AD43">
        <v>148</v>
      </c>
      <c r="AE43">
        <v>129</v>
      </c>
      <c r="AF43">
        <v>49</v>
      </c>
      <c r="AG43">
        <v>51</v>
      </c>
      <c r="AH43">
        <v>32</v>
      </c>
      <c r="AI43">
        <v>64</v>
      </c>
    </row>
    <row r="44" spans="1:35" x14ac:dyDescent="0.25">
      <c r="T44" s="1" t="s">
        <v>12</v>
      </c>
      <c r="U44" s="4">
        <v>0.25635999999999998</v>
      </c>
      <c r="V44" s="4">
        <v>0.28142</v>
      </c>
      <c r="AC44" s="1" t="s">
        <v>12</v>
      </c>
      <c r="AD44">
        <v>159</v>
      </c>
      <c r="AE44">
        <v>145</v>
      </c>
      <c r="AF44">
        <v>38</v>
      </c>
      <c r="AG44">
        <v>41</v>
      </c>
      <c r="AH44">
        <v>48</v>
      </c>
      <c r="AI44">
        <v>93</v>
      </c>
    </row>
    <row r="45" spans="1:35" x14ac:dyDescent="0.25">
      <c r="T45" s="1" t="s">
        <v>13</v>
      </c>
      <c r="U45" s="4">
        <v>0.26471</v>
      </c>
      <c r="V45" s="4">
        <v>0.28060000000000002</v>
      </c>
      <c r="AC45" s="1" t="s">
        <v>13</v>
      </c>
      <c r="AD45">
        <v>148</v>
      </c>
      <c r="AE45">
        <v>152</v>
      </c>
      <c r="AF45">
        <v>54</v>
      </c>
      <c r="AG45">
        <v>48</v>
      </c>
      <c r="AH45">
        <v>69</v>
      </c>
      <c r="AI45">
        <v>95</v>
      </c>
    </row>
    <row r="48" spans="1:35" x14ac:dyDescent="0.25">
      <c r="A48" s="12" t="s">
        <v>44</v>
      </c>
      <c r="B48" s="12"/>
      <c r="C48" s="12"/>
      <c r="D48" s="12"/>
      <c r="E48" s="12"/>
      <c r="F48" s="12"/>
      <c r="G48" s="12"/>
      <c r="T48" s="11" t="s">
        <v>56</v>
      </c>
      <c r="U48" s="11"/>
      <c r="V48" s="11"/>
      <c r="W48" s="11"/>
      <c r="X48" s="11"/>
      <c r="Y48" s="11"/>
      <c r="Z48" s="11"/>
    </row>
    <row r="49" spans="1:35" ht="33.75" customHeight="1" x14ac:dyDescent="0.25">
      <c r="A49" s="5"/>
      <c r="B49" s="1" t="s">
        <v>5</v>
      </c>
      <c r="C49" s="6" t="s">
        <v>6</v>
      </c>
      <c r="D49" s="1" t="s">
        <v>7</v>
      </c>
      <c r="E49" s="6" t="s">
        <v>8</v>
      </c>
      <c r="F49" s="1" t="s">
        <v>1</v>
      </c>
      <c r="G49" s="1" t="s">
        <v>0</v>
      </c>
      <c r="T49" s="10" t="s">
        <v>16</v>
      </c>
      <c r="U49" s="10"/>
      <c r="V49" s="10"/>
      <c r="W49" s="10"/>
      <c r="X49" s="10"/>
      <c r="Y49" s="10"/>
      <c r="Z49" s="10"/>
      <c r="AC49" s="12" t="s">
        <v>44</v>
      </c>
      <c r="AD49" s="12"/>
      <c r="AE49" s="12"/>
      <c r="AF49" s="12"/>
      <c r="AG49" s="12"/>
      <c r="AH49" s="12"/>
      <c r="AI49" s="12"/>
    </row>
    <row r="50" spans="1:35" ht="29.25" customHeight="1" x14ac:dyDescent="0.25">
      <c r="A50" s="1">
        <v>2</v>
      </c>
      <c r="B50">
        <f t="shared" ref="B50:G50" si="0">AVERAGE(B6:B10)</f>
        <v>1870.4</v>
      </c>
      <c r="C50">
        <f t="shared" si="0"/>
        <v>1754.2</v>
      </c>
      <c r="D50">
        <f t="shared" si="0"/>
        <v>1926.6</v>
      </c>
      <c r="E50">
        <f t="shared" si="0"/>
        <v>1947.2</v>
      </c>
      <c r="F50">
        <f t="shared" si="0"/>
        <v>935.6</v>
      </c>
      <c r="G50">
        <f t="shared" si="0"/>
        <v>704</v>
      </c>
      <c r="T50" s="5"/>
      <c r="U50" s="1" t="s">
        <v>5</v>
      </c>
      <c r="V50" s="6" t="s">
        <v>6</v>
      </c>
      <c r="W50" s="1" t="s">
        <v>7</v>
      </c>
      <c r="X50" s="6" t="s">
        <v>8</v>
      </c>
      <c r="Y50" s="1" t="s">
        <v>1</v>
      </c>
      <c r="Z50" s="1" t="s">
        <v>0</v>
      </c>
      <c r="AC50" s="5"/>
      <c r="AD50" s="1" t="s">
        <v>5</v>
      </c>
      <c r="AE50" s="6" t="s">
        <v>6</v>
      </c>
      <c r="AF50" s="1" t="s">
        <v>7</v>
      </c>
      <c r="AG50" s="6" t="s">
        <v>8</v>
      </c>
      <c r="AH50" s="1" t="s">
        <v>1</v>
      </c>
      <c r="AI50" s="1" t="s">
        <v>0</v>
      </c>
    </row>
    <row r="51" spans="1:35" x14ac:dyDescent="0.25">
      <c r="A51" s="1">
        <v>4</v>
      </c>
      <c r="B51">
        <f t="shared" ref="B51:G51" si="1">AVERAGE(B17:B21)</f>
        <v>2673.2</v>
      </c>
      <c r="C51">
        <f t="shared" si="1"/>
        <v>2666.8</v>
      </c>
      <c r="D51">
        <f t="shared" si="1"/>
        <v>2871.4</v>
      </c>
      <c r="E51">
        <f t="shared" si="1"/>
        <v>2838.6</v>
      </c>
      <c r="F51">
        <f t="shared" si="1"/>
        <v>1435</v>
      </c>
      <c r="G51">
        <f t="shared" si="1"/>
        <v>1332.2</v>
      </c>
      <c r="T51" s="1" t="s">
        <v>9</v>
      </c>
      <c r="U51">
        <v>8.8000000000000005E-3</v>
      </c>
      <c r="V51">
        <v>0</v>
      </c>
      <c r="W51">
        <v>0</v>
      </c>
      <c r="X51">
        <v>0</v>
      </c>
      <c r="Y51">
        <v>0.49769999999999998</v>
      </c>
      <c r="Z51">
        <v>0.52</v>
      </c>
      <c r="AC51" s="1" t="s">
        <v>58</v>
      </c>
      <c r="AD51">
        <f t="shared" ref="AD51:AI51" si="2">AVERAGE(AD5:AD9)</f>
        <v>0</v>
      </c>
      <c r="AE51">
        <f t="shared" si="2"/>
        <v>1.2</v>
      </c>
      <c r="AF51">
        <f t="shared" si="2"/>
        <v>56.8</v>
      </c>
      <c r="AG51">
        <f t="shared" si="2"/>
        <v>50.6</v>
      </c>
      <c r="AH51">
        <f t="shared" si="2"/>
        <v>12.6</v>
      </c>
      <c r="AI51">
        <f t="shared" si="2"/>
        <v>2</v>
      </c>
    </row>
    <row r="52" spans="1:35" x14ac:dyDescent="0.25">
      <c r="A52" s="1">
        <v>8</v>
      </c>
      <c r="B52">
        <f t="shared" ref="B52:G52" si="3">AVERAGE(B28:B32)</f>
        <v>2734.6</v>
      </c>
      <c r="C52">
        <f t="shared" si="3"/>
        <v>2839.8</v>
      </c>
      <c r="D52">
        <f t="shared" si="3"/>
        <v>3015.4</v>
      </c>
      <c r="E52">
        <f t="shared" si="3"/>
        <v>3017.6</v>
      </c>
      <c r="F52">
        <f t="shared" si="3"/>
        <v>1880.2</v>
      </c>
      <c r="G52">
        <f t="shared" si="3"/>
        <v>1750.8</v>
      </c>
      <c r="T52" s="1" t="s">
        <v>10</v>
      </c>
      <c r="U52">
        <v>8.8000000000000005E-3</v>
      </c>
      <c r="V52">
        <v>0</v>
      </c>
      <c r="W52">
        <v>0</v>
      </c>
      <c r="X52">
        <v>0</v>
      </c>
      <c r="Y52">
        <v>0.49419999999999997</v>
      </c>
      <c r="Z52">
        <v>0.52</v>
      </c>
      <c r="AC52" s="1" t="s">
        <v>59</v>
      </c>
      <c r="AD52">
        <f>AVERAGE(AD15:AD19)</f>
        <v>49</v>
      </c>
      <c r="AE52">
        <f>AVERAGE(AE15:AE19)</f>
        <v>44.6</v>
      </c>
      <c r="AF52">
        <f>AVERAGE(AF15:AF19)</f>
        <v>87.2</v>
      </c>
      <c r="AG52">
        <f>AVERAGE(AG29:AG33)</f>
        <v>46.2</v>
      </c>
      <c r="AH52">
        <f>AVERAGE(AH15:AH19)</f>
        <v>22.8</v>
      </c>
      <c r="AI52">
        <f>AVERAGE(AI15:AI19)</f>
        <v>11.8</v>
      </c>
    </row>
    <row r="53" spans="1:35" x14ac:dyDescent="0.25">
      <c r="A53" s="1">
        <v>16</v>
      </c>
      <c r="B53">
        <f t="shared" ref="B53:G53" si="4">AVERAGE(B39:B43)</f>
        <v>3270.4</v>
      </c>
      <c r="C53">
        <f t="shared" si="4"/>
        <v>3310</v>
      </c>
      <c r="D53">
        <f t="shared" si="4"/>
        <v>3068</v>
      </c>
      <c r="E53">
        <f t="shared" si="4"/>
        <v>3109.8</v>
      </c>
      <c r="F53">
        <f t="shared" si="4"/>
        <v>2311.6</v>
      </c>
      <c r="G53">
        <f t="shared" si="4"/>
        <v>2226.8000000000002</v>
      </c>
      <c r="T53" s="1" t="s">
        <v>11</v>
      </c>
      <c r="U53">
        <v>1.7600000000000001E-2</v>
      </c>
      <c r="V53">
        <v>0</v>
      </c>
      <c r="W53">
        <v>0</v>
      </c>
      <c r="X53">
        <v>0</v>
      </c>
      <c r="Y53">
        <v>0.50800000000000001</v>
      </c>
      <c r="Z53">
        <v>0.51200000000000001</v>
      </c>
      <c r="AC53" s="1" t="s">
        <v>60</v>
      </c>
      <c r="AD53">
        <f t="shared" ref="AD53:AI53" si="5">AVERAGE(AD29:AD33)</f>
        <v>42.2</v>
      </c>
      <c r="AE53">
        <f t="shared" si="5"/>
        <v>36.6</v>
      </c>
      <c r="AF53">
        <f t="shared" si="5"/>
        <v>56.6</v>
      </c>
      <c r="AG53">
        <f t="shared" si="5"/>
        <v>46.2</v>
      </c>
      <c r="AH53">
        <f t="shared" si="5"/>
        <v>33.799999999999997</v>
      </c>
      <c r="AI53">
        <f t="shared" si="5"/>
        <v>16</v>
      </c>
    </row>
    <row r="54" spans="1:35" x14ac:dyDescent="0.25">
      <c r="J54" s="12" t="s">
        <v>44</v>
      </c>
      <c r="K54" s="12"/>
      <c r="L54" s="12"/>
      <c r="M54" s="12"/>
      <c r="N54" s="12"/>
      <c r="O54" s="12"/>
      <c r="P54" s="12"/>
      <c r="T54" s="1" t="s">
        <v>12</v>
      </c>
      <c r="U54">
        <v>1.7650000000000001E-3</v>
      </c>
      <c r="V54">
        <v>0</v>
      </c>
      <c r="W54">
        <v>0</v>
      </c>
      <c r="X54">
        <v>0</v>
      </c>
      <c r="Y54">
        <v>0.496</v>
      </c>
      <c r="Z54">
        <v>0.51500000000000001</v>
      </c>
      <c r="AC54" s="1" t="s">
        <v>61</v>
      </c>
      <c r="AD54">
        <f t="shared" ref="AD54:AI54" si="6">AVERAGE(AD41:AD45)</f>
        <v>140.19999999999999</v>
      </c>
      <c r="AE54">
        <f t="shared" si="6"/>
        <v>141.4</v>
      </c>
      <c r="AF54">
        <f t="shared" si="6"/>
        <v>45.6</v>
      </c>
      <c r="AG54">
        <f t="shared" si="6"/>
        <v>47.2</v>
      </c>
      <c r="AH54">
        <f t="shared" si="6"/>
        <v>47.6</v>
      </c>
      <c r="AI54">
        <f t="shared" si="6"/>
        <v>78.8</v>
      </c>
    </row>
    <row r="55" spans="1:35" ht="105" x14ac:dyDescent="0.25">
      <c r="J55" s="5"/>
      <c r="K55" s="1" t="s">
        <v>5</v>
      </c>
      <c r="L55" s="6" t="s">
        <v>6</v>
      </c>
      <c r="M55" s="1" t="s">
        <v>7</v>
      </c>
      <c r="N55" s="6" t="s">
        <v>8</v>
      </c>
      <c r="O55" s="1" t="s">
        <v>1</v>
      </c>
      <c r="P55" s="1" t="s">
        <v>0</v>
      </c>
      <c r="T55" s="1" t="s">
        <v>13</v>
      </c>
      <c r="U55">
        <v>1.235E-2</v>
      </c>
      <c r="V55">
        <v>0</v>
      </c>
      <c r="W55">
        <v>0</v>
      </c>
      <c r="X55">
        <v>0</v>
      </c>
      <c r="Y55">
        <v>0.49199999999999999</v>
      </c>
      <c r="Z55">
        <v>0.52</v>
      </c>
    </row>
    <row r="56" spans="1:35" x14ac:dyDescent="0.25">
      <c r="J56" s="1">
        <v>2</v>
      </c>
      <c r="K56">
        <f t="shared" ref="K56:P56" si="7">AVERAGE(K5:K9)</f>
        <v>1.35</v>
      </c>
      <c r="L56">
        <f t="shared" si="7"/>
        <v>1.2576000000000001</v>
      </c>
      <c r="M56">
        <f t="shared" si="7"/>
        <v>0.51219999999999999</v>
      </c>
      <c r="N56">
        <f t="shared" si="7"/>
        <v>0.23500000000000001</v>
      </c>
      <c r="O56">
        <f t="shared" si="7"/>
        <v>0.52259999999999995</v>
      </c>
      <c r="P56">
        <f t="shared" si="7"/>
        <v>0.46800000000000008</v>
      </c>
    </row>
    <row r="57" spans="1:35" x14ac:dyDescent="0.25">
      <c r="J57" s="1">
        <v>4</v>
      </c>
      <c r="K57">
        <f t="shared" ref="K57:P57" si="8">AVERAGE(K15:K19)</f>
        <v>2.3356000000000003</v>
      </c>
      <c r="L57">
        <f t="shared" si="8"/>
        <v>2.2347999999999999</v>
      </c>
      <c r="M57">
        <f t="shared" si="8"/>
        <v>0.4476</v>
      </c>
      <c r="N57">
        <f t="shared" si="8"/>
        <v>0.25719999999999998</v>
      </c>
      <c r="O57">
        <f t="shared" si="8"/>
        <v>0.63960000000000006</v>
      </c>
      <c r="P57">
        <f t="shared" si="8"/>
        <v>0.80920000000000003</v>
      </c>
      <c r="T57" s="22" t="s">
        <v>17</v>
      </c>
      <c r="U57" s="22"/>
      <c r="V57" s="22"/>
    </row>
    <row r="58" spans="1:35" x14ac:dyDescent="0.25">
      <c r="J58" s="1">
        <v>8</v>
      </c>
      <c r="K58">
        <f t="shared" ref="K58:P58" si="9">AVERAGE(K25:K29)</f>
        <v>3.9055999999999997</v>
      </c>
      <c r="L58">
        <f t="shared" si="9"/>
        <v>3.8977999999999993</v>
      </c>
      <c r="M58">
        <f t="shared" si="9"/>
        <v>0.51660000000000006</v>
      </c>
      <c r="N58">
        <f t="shared" si="9"/>
        <v>0.29339999999999999</v>
      </c>
      <c r="O58">
        <f t="shared" si="9"/>
        <v>0.76340000000000008</v>
      </c>
      <c r="P58">
        <f t="shared" si="9"/>
        <v>1.0364</v>
      </c>
      <c r="T58" s="7"/>
      <c r="U58" s="1" t="s">
        <v>0</v>
      </c>
      <c r="V58" s="1" t="s">
        <v>1</v>
      </c>
      <c r="W58" s="1" t="s">
        <v>5</v>
      </c>
    </row>
    <row r="59" spans="1:35" x14ac:dyDescent="0.25">
      <c r="J59" s="1">
        <v>16</v>
      </c>
      <c r="K59">
        <f t="shared" ref="K59:P59" si="10">AVERAGE(K36:K40)</f>
        <v>4.0444000000000004</v>
      </c>
      <c r="L59">
        <f t="shared" si="10"/>
        <v>3.8979999999999997</v>
      </c>
      <c r="M59">
        <f t="shared" si="10"/>
        <v>0.97000000000000008</v>
      </c>
      <c r="N59">
        <f t="shared" si="10"/>
        <v>0.496</v>
      </c>
      <c r="O59">
        <f t="shared" si="10"/>
        <v>1.1254</v>
      </c>
      <c r="P59">
        <f t="shared" si="10"/>
        <v>1.5226</v>
      </c>
      <c r="T59" s="1" t="s">
        <v>9</v>
      </c>
      <c r="U59" s="4">
        <v>0.72699999999999998</v>
      </c>
      <c r="V59" s="4">
        <v>0.70520000000000005</v>
      </c>
      <c r="W59" s="4">
        <v>6.4360000000000001E-2</v>
      </c>
    </row>
    <row r="60" spans="1:35" x14ac:dyDescent="0.25">
      <c r="T60" s="1" t="s">
        <v>10</v>
      </c>
      <c r="U60" s="4">
        <v>0.72260000000000002</v>
      </c>
      <c r="V60" s="4">
        <v>0.70047999999999999</v>
      </c>
      <c r="W60" s="4">
        <v>2.7895E-2</v>
      </c>
    </row>
    <row r="61" spans="1:35" x14ac:dyDescent="0.25">
      <c r="T61" s="1" t="s">
        <v>11</v>
      </c>
      <c r="U61" s="4">
        <v>0.72843000000000002</v>
      </c>
      <c r="V61" s="4">
        <v>0.71528000000000003</v>
      </c>
      <c r="W61" s="4">
        <v>6.9589999999999999E-2</v>
      </c>
    </row>
    <row r="62" spans="1:35" x14ac:dyDescent="0.25">
      <c r="T62" s="1" t="s">
        <v>12</v>
      </c>
      <c r="U62" s="4">
        <v>0.70989999999999998</v>
      </c>
      <c r="V62" s="4">
        <v>0.70389999999999997</v>
      </c>
      <c r="W62" s="4">
        <v>5.3400000000000001E-3</v>
      </c>
    </row>
    <row r="63" spans="1:35" x14ac:dyDescent="0.25">
      <c r="T63" s="1" t="s">
        <v>13</v>
      </c>
      <c r="U63" s="4">
        <v>0.73624000000000001</v>
      </c>
      <c r="V63" s="4">
        <v>0.69613999999999998</v>
      </c>
      <c r="W63" s="4">
        <v>2.7349999999999999E-2</v>
      </c>
    </row>
    <row r="67" spans="20:26" x14ac:dyDescent="0.25">
      <c r="T67" s="11" t="s">
        <v>57</v>
      </c>
      <c r="U67" s="11"/>
      <c r="V67" s="11"/>
      <c r="W67" s="11"/>
      <c r="X67" s="11"/>
      <c r="Y67" s="11"/>
      <c r="Z67" s="11"/>
    </row>
    <row r="68" spans="20:26" x14ac:dyDescent="0.25">
      <c r="T68" s="10" t="s">
        <v>16</v>
      </c>
      <c r="U68" s="10"/>
      <c r="V68" s="10"/>
      <c r="W68" s="10"/>
      <c r="X68" s="10"/>
      <c r="Y68" s="10"/>
      <c r="Z68" s="10"/>
    </row>
    <row r="69" spans="20:26" ht="105" x14ac:dyDescent="0.25">
      <c r="T69" s="5"/>
      <c r="U69" s="1" t="s">
        <v>5</v>
      </c>
      <c r="V69" s="6" t="s">
        <v>6</v>
      </c>
      <c r="W69" s="1" t="s">
        <v>7</v>
      </c>
      <c r="X69" s="6" t="s">
        <v>8</v>
      </c>
      <c r="Y69" s="1" t="s">
        <v>1</v>
      </c>
      <c r="Z69" s="1" t="s">
        <v>0</v>
      </c>
    </row>
    <row r="70" spans="20:26" x14ac:dyDescent="0.25">
      <c r="T70" s="1" t="s">
        <v>9</v>
      </c>
      <c r="U70">
        <v>2.5999999999999999E-2</v>
      </c>
      <c r="V70">
        <v>0</v>
      </c>
      <c r="W70">
        <v>0</v>
      </c>
      <c r="X70">
        <v>0</v>
      </c>
      <c r="Y70">
        <v>0.86099999999999999</v>
      </c>
      <c r="Z70">
        <v>0.88600000000000001</v>
      </c>
    </row>
    <row r="71" spans="20:26" x14ac:dyDescent="0.25">
      <c r="T71" s="1" t="s">
        <v>10</v>
      </c>
      <c r="U71">
        <v>2.8000000000000001E-2</v>
      </c>
      <c r="V71">
        <v>0</v>
      </c>
      <c r="W71">
        <v>8.8000000000000005E-3</v>
      </c>
      <c r="X71">
        <v>0</v>
      </c>
      <c r="Y71">
        <v>0.85699999999999998</v>
      </c>
      <c r="Z71">
        <v>0.85899999999999999</v>
      </c>
    </row>
    <row r="72" spans="20:26" x14ac:dyDescent="0.25">
      <c r="T72" s="1" t="s">
        <v>11</v>
      </c>
      <c r="U72">
        <v>8.8000000000000005E-3</v>
      </c>
      <c r="V72">
        <v>0</v>
      </c>
      <c r="W72">
        <v>0</v>
      </c>
      <c r="X72">
        <v>0</v>
      </c>
      <c r="Y72">
        <v>0.86099999999999999</v>
      </c>
      <c r="Z72">
        <v>0.88400000000000001</v>
      </c>
    </row>
    <row r="73" spans="20:26" x14ac:dyDescent="0.25">
      <c r="T73" s="1" t="s">
        <v>12</v>
      </c>
      <c r="U73">
        <v>8.8000000000000005E-3</v>
      </c>
      <c r="V73">
        <v>0</v>
      </c>
      <c r="W73">
        <v>0</v>
      </c>
      <c r="X73">
        <v>0</v>
      </c>
      <c r="Y73">
        <v>0.86099999999999999</v>
      </c>
      <c r="Z73">
        <v>0.872</v>
      </c>
    </row>
    <row r="74" spans="20:26" x14ac:dyDescent="0.25">
      <c r="T74" s="1" t="s">
        <v>13</v>
      </c>
      <c r="U74">
        <v>0.01</v>
      </c>
      <c r="V74">
        <v>0</v>
      </c>
      <c r="W74">
        <v>0</v>
      </c>
      <c r="X74">
        <v>0</v>
      </c>
      <c r="Y74">
        <v>0.86399999999999999</v>
      </c>
      <c r="Z74">
        <v>0.85199999999999998</v>
      </c>
    </row>
    <row r="76" spans="20:26" x14ac:dyDescent="0.25">
      <c r="T76" s="22" t="s">
        <v>17</v>
      </c>
      <c r="U76" s="22"/>
      <c r="V76" s="22"/>
    </row>
    <row r="77" spans="20:26" x14ac:dyDescent="0.25">
      <c r="T77" s="7"/>
      <c r="U77" s="1" t="s">
        <v>0</v>
      </c>
      <c r="V77" s="1" t="s">
        <v>1</v>
      </c>
      <c r="W77" s="1" t="s">
        <v>5</v>
      </c>
      <c r="X77" s="1" t="s">
        <v>7</v>
      </c>
    </row>
    <row r="78" spans="20:26" x14ac:dyDescent="0.25">
      <c r="T78" s="1" t="s">
        <v>9</v>
      </c>
      <c r="U78" s="4">
        <v>3.0508000000000002</v>
      </c>
      <c r="V78" s="4">
        <v>2.9619</v>
      </c>
      <c r="W78" s="4">
        <v>0.34789999999999999</v>
      </c>
      <c r="X78" s="4">
        <v>0</v>
      </c>
    </row>
    <row r="79" spans="20:26" x14ac:dyDescent="0.25">
      <c r="T79" s="1" t="s">
        <v>10</v>
      </c>
      <c r="U79" s="4">
        <v>2.9685000000000001</v>
      </c>
      <c r="V79" s="4">
        <v>2.9735</v>
      </c>
      <c r="W79" s="4">
        <v>0.45129999999999998</v>
      </c>
      <c r="X79" s="4">
        <v>8.5150000000000003E-2</v>
      </c>
    </row>
    <row r="80" spans="20:26" x14ac:dyDescent="0.25">
      <c r="T80" s="1" t="s">
        <v>11</v>
      </c>
      <c r="U80" s="4">
        <v>3.0464000000000002</v>
      </c>
      <c r="V80" s="4">
        <v>3.1938</v>
      </c>
      <c r="W80" s="4">
        <v>0.31740000000000002</v>
      </c>
      <c r="X80" s="4">
        <v>0</v>
      </c>
    </row>
    <row r="81" spans="20:26" x14ac:dyDescent="0.25">
      <c r="T81" s="1" t="s">
        <v>12</v>
      </c>
      <c r="U81" s="4">
        <v>2.9824899999999999</v>
      </c>
      <c r="V81" s="4">
        <v>3.1509</v>
      </c>
      <c r="W81" s="4">
        <v>0.2127</v>
      </c>
      <c r="X81" s="4">
        <v>0</v>
      </c>
    </row>
    <row r="82" spans="20:26" x14ac:dyDescent="0.25">
      <c r="T82" s="1" t="s">
        <v>13</v>
      </c>
      <c r="U82" s="4">
        <v>2.9942299999999999</v>
      </c>
      <c r="V82" s="4">
        <v>2.9701399999999998</v>
      </c>
      <c r="W82" s="4">
        <v>0.213114</v>
      </c>
      <c r="X82" s="4">
        <v>0</v>
      </c>
    </row>
    <row r="87" spans="20:26" x14ac:dyDescent="0.25">
      <c r="T87" s="12" t="s">
        <v>23</v>
      </c>
      <c r="U87" s="12"/>
      <c r="V87" s="12"/>
      <c r="W87" s="12"/>
      <c r="X87" s="12"/>
      <c r="Y87" s="12"/>
      <c r="Z87" s="12"/>
    </row>
    <row r="88" spans="20:26" x14ac:dyDescent="0.25">
      <c r="T88" s="10" t="s">
        <v>16</v>
      </c>
      <c r="U88" s="10"/>
      <c r="V88" s="10"/>
      <c r="W88" s="10"/>
      <c r="X88" s="10"/>
      <c r="Y88" s="10"/>
      <c r="Z88" s="10"/>
    </row>
    <row r="89" spans="20:26" x14ac:dyDescent="0.25">
      <c r="T89" s="9"/>
      <c r="U89" s="1" t="s">
        <v>1</v>
      </c>
      <c r="V89" s="1" t="s">
        <v>0</v>
      </c>
      <c r="W89" s="1" t="s">
        <v>5</v>
      </c>
    </row>
    <row r="90" spans="20:26" x14ac:dyDescent="0.25">
      <c r="T90" s="1">
        <v>2</v>
      </c>
      <c r="U90">
        <f>AVERAGE(Y5:Y9)</f>
        <v>0.14072000000000001</v>
      </c>
      <c r="V90">
        <f>AVERAGE(Z5:Z9)</f>
        <v>0.12754000000000001</v>
      </c>
      <c r="W90">
        <v>0</v>
      </c>
    </row>
    <row r="91" spans="20:26" x14ac:dyDescent="0.25">
      <c r="T91" s="1">
        <v>4</v>
      </c>
      <c r="U91">
        <f>AVERAGE(Y33:Y37)</f>
        <v>0.26044</v>
      </c>
      <c r="V91">
        <f>AVERAGE(Z33:Z37)</f>
        <v>0.26141999999999999</v>
      </c>
      <c r="W91">
        <v>0</v>
      </c>
    </row>
    <row r="92" spans="20:26" x14ac:dyDescent="0.25">
      <c r="T92" s="1">
        <v>8</v>
      </c>
      <c r="U92">
        <f>AVERAGE(Y51:Y55)</f>
        <v>0.49757999999999997</v>
      </c>
      <c r="V92">
        <f>AVERAGE(Z51:Z55)</f>
        <v>0.51740000000000008</v>
      </c>
      <c r="W92">
        <f>AVERAGE(U51:U55)</f>
        <v>9.8630000000000002E-3</v>
      </c>
    </row>
    <row r="93" spans="20:26" x14ac:dyDescent="0.25">
      <c r="T93" s="1">
        <v>16</v>
      </c>
      <c r="U93">
        <f>AVERAGE(Y70:Y74)</f>
        <v>0.8607999999999999</v>
      </c>
      <c r="V93">
        <f>AVERAGE(Z70:Z74)</f>
        <v>0.87059999999999993</v>
      </c>
      <c r="W93">
        <f>AVERAGE(U70:U74)</f>
        <v>1.6319999999999998E-2</v>
      </c>
    </row>
    <row r="96" spans="20:26" x14ac:dyDescent="0.25">
      <c r="T96" s="19" t="s">
        <v>17</v>
      </c>
      <c r="U96" s="19"/>
      <c r="V96" s="19"/>
    </row>
    <row r="97" spans="20:23" x14ac:dyDescent="0.25">
      <c r="U97" s="1" t="s">
        <v>0</v>
      </c>
      <c r="V97" s="1" t="s">
        <v>1</v>
      </c>
      <c r="W97" s="1" t="s">
        <v>5</v>
      </c>
    </row>
    <row r="98" spans="20:23" x14ac:dyDescent="0.25">
      <c r="T98" s="1">
        <v>2</v>
      </c>
      <c r="U98" s="4">
        <f>AVERAGE(U22:U26)</f>
        <v>0.129358</v>
      </c>
      <c r="V98" s="4">
        <f>AVERAGE(V22:V26)</f>
        <v>0.14325399999999999</v>
      </c>
      <c r="W98" s="4">
        <v>0</v>
      </c>
    </row>
    <row r="99" spans="20:23" x14ac:dyDescent="0.25">
      <c r="T99" s="1">
        <v>4</v>
      </c>
      <c r="U99" s="4">
        <f>AVERAGE(U41:U45)</f>
        <v>0.27715199999999995</v>
      </c>
      <c r="V99" s="4">
        <f>AVERAGE(V41:V45)</f>
        <v>0.28234799999999999</v>
      </c>
      <c r="W99" s="4">
        <v>0</v>
      </c>
    </row>
    <row r="100" spans="20:23" x14ac:dyDescent="0.25">
      <c r="T100" s="1">
        <v>8</v>
      </c>
      <c r="U100" s="4">
        <f>AVERAGE(U59:U63)</f>
        <v>0.72483399999999998</v>
      </c>
      <c r="V100" s="4">
        <f>AVERAGE(V59:V63)</f>
        <v>0.70419999999999994</v>
      </c>
      <c r="W100" s="4">
        <f>AVERAGE(W59:W63)</f>
        <v>3.8907000000000004E-2</v>
      </c>
    </row>
    <row r="101" spans="20:23" x14ac:dyDescent="0.25">
      <c r="T101" s="1">
        <v>16</v>
      </c>
      <c r="U101" s="4">
        <f>AVERAGE(U78:U82)</f>
        <v>3.0084840000000002</v>
      </c>
      <c r="V101" s="4">
        <f>AVERAGE(V78:V82)</f>
        <v>3.0500479999999994</v>
      </c>
      <c r="W101" s="4">
        <f>AVERAGE(W78:W82)</f>
        <v>0.3084828</v>
      </c>
    </row>
  </sheetData>
  <mergeCells count="47">
    <mergeCell ref="AC38:AI38"/>
    <mergeCell ref="AC39:AI39"/>
    <mergeCell ref="AC49:AI49"/>
    <mergeCell ref="AC1:AI1"/>
    <mergeCell ref="T96:V96"/>
    <mergeCell ref="T76:V76"/>
    <mergeCell ref="T87:Z87"/>
    <mergeCell ref="T88:Z88"/>
    <mergeCell ref="T1:Z1"/>
    <mergeCell ref="AC2:AI2"/>
    <mergeCell ref="AC3:AI3"/>
    <mergeCell ref="AC12:AI12"/>
    <mergeCell ref="AC13:AI13"/>
    <mergeCell ref="AC26:AI26"/>
    <mergeCell ref="AC27:AI27"/>
    <mergeCell ref="T39:V39"/>
    <mergeCell ref="T48:Z48"/>
    <mergeCell ref="T49:Z49"/>
    <mergeCell ref="T57:V57"/>
    <mergeCell ref="T67:Z67"/>
    <mergeCell ref="T68:Z68"/>
    <mergeCell ref="J33:P33"/>
    <mergeCell ref="J34:P34"/>
    <mergeCell ref="J54:P54"/>
    <mergeCell ref="J1:P1"/>
    <mergeCell ref="T2:Z2"/>
    <mergeCell ref="T3:Z3"/>
    <mergeCell ref="T12:V12"/>
    <mergeCell ref="T20:V20"/>
    <mergeCell ref="T30:Z30"/>
    <mergeCell ref="T31:Z31"/>
    <mergeCell ref="A36:G36"/>
    <mergeCell ref="A37:G37"/>
    <mergeCell ref="A48:G48"/>
    <mergeCell ref="A1:G1"/>
    <mergeCell ref="J2:P2"/>
    <mergeCell ref="J3:P3"/>
    <mergeCell ref="J12:P12"/>
    <mergeCell ref="J13:P13"/>
    <mergeCell ref="J22:P22"/>
    <mergeCell ref="J23:P23"/>
    <mergeCell ref="A3:G3"/>
    <mergeCell ref="A4:G4"/>
    <mergeCell ref="A14:G14"/>
    <mergeCell ref="A15:G15"/>
    <mergeCell ref="A25:G25"/>
    <mergeCell ref="A26:G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opLeftCell="O67" workbookViewId="0">
      <selection activeCell="AF69" sqref="AF69"/>
    </sheetView>
  </sheetViews>
  <sheetFormatPr defaultRowHeight="15" x14ac:dyDescent="0.25"/>
  <cols>
    <col min="2" max="2" width="15.85546875" bestFit="1" customWidth="1"/>
    <col min="3" max="3" width="22.140625" customWidth="1"/>
    <col min="4" max="4" width="38.28515625" bestFit="1" customWidth="1"/>
    <col min="5" max="5" width="23.5703125" bestFit="1" customWidth="1"/>
    <col min="6" max="6" width="9.5703125" bestFit="1" customWidth="1"/>
    <col min="13" max="13" width="15.85546875" bestFit="1" customWidth="1"/>
    <col min="14" max="14" width="11.5703125" bestFit="1" customWidth="1"/>
    <col min="15" max="15" width="38.28515625" bestFit="1" customWidth="1"/>
    <col min="16" max="17" width="12" bestFit="1" customWidth="1"/>
    <col min="22" max="22" width="38.28515625" bestFit="1" customWidth="1"/>
    <col min="23" max="23" width="9.5703125" bestFit="1" customWidth="1"/>
    <col min="24" max="24" width="9.140625" customWidth="1"/>
    <col min="25" max="25" width="9" bestFit="1" customWidth="1"/>
    <col min="26" max="26" width="9.140625" customWidth="1"/>
  </cols>
  <sheetData>
    <row r="1" spans="1:37" x14ac:dyDescent="0.25">
      <c r="A1" t="s">
        <v>3</v>
      </c>
      <c r="B1" s="18" t="s">
        <v>4</v>
      </c>
      <c r="C1" s="18"/>
      <c r="D1" s="18"/>
      <c r="E1" s="18"/>
      <c r="F1" s="18"/>
      <c r="G1" s="18"/>
      <c r="L1" s="18" t="s">
        <v>26</v>
      </c>
      <c r="M1" s="18"/>
      <c r="N1" s="18"/>
      <c r="O1" s="18"/>
      <c r="P1" s="18"/>
      <c r="Q1" s="18"/>
      <c r="R1" s="18"/>
      <c r="U1" s="18" t="s">
        <v>16</v>
      </c>
      <c r="V1" s="18"/>
      <c r="W1" s="18"/>
      <c r="X1" s="18"/>
      <c r="Y1" s="18"/>
      <c r="Z1" s="18"/>
      <c r="AA1" s="18"/>
      <c r="AE1" s="18" t="s">
        <v>27</v>
      </c>
      <c r="AF1" s="18"/>
      <c r="AG1" s="18"/>
      <c r="AH1" s="18"/>
      <c r="AI1" s="18"/>
      <c r="AJ1" s="18"/>
      <c r="AK1" s="18"/>
    </row>
    <row r="2" spans="1:37" x14ac:dyDescent="0.25">
      <c r="A2" s="11" t="s">
        <v>18</v>
      </c>
      <c r="B2" s="11"/>
      <c r="C2" s="11"/>
      <c r="D2" s="11"/>
      <c r="E2" s="11"/>
      <c r="F2" s="11"/>
      <c r="G2" s="11"/>
      <c r="L2" s="11" t="s">
        <v>18</v>
      </c>
      <c r="M2" s="11"/>
      <c r="N2" s="11"/>
      <c r="O2" s="11"/>
      <c r="P2" s="11"/>
      <c r="Q2" s="11"/>
      <c r="R2" s="11"/>
      <c r="U2" s="11" t="s">
        <v>18</v>
      </c>
      <c r="V2" s="11"/>
      <c r="W2" s="11"/>
      <c r="X2" s="11"/>
      <c r="Y2" s="11"/>
      <c r="Z2" s="11"/>
      <c r="AA2" s="11"/>
      <c r="AE2" s="11" t="s">
        <v>18</v>
      </c>
      <c r="AF2" s="11"/>
      <c r="AG2" s="11"/>
      <c r="AH2" s="11"/>
      <c r="AI2" s="11"/>
      <c r="AJ2" s="11"/>
      <c r="AK2" s="11"/>
    </row>
    <row r="3" spans="1:37" x14ac:dyDescent="0.25">
      <c r="A3" s="10" t="s">
        <v>4</v>
      </c>
      <c r="B3" s="10"/>
      <c r="C3" s="10"/>
      <c r="D3" s="10"/>
      <c r="E3" s="10"/>
      <c r="F3" s="10"/>
      <c r="G3" s="10"/>
      <c r="L3" s="13" t="s">
        <v>15</v>
      </c>
      <c r="M3" s="14"/>
      <c r="N3" s="14"/>
      <c r="O3" s="14"/>
      <c r="P3" s="14"/>
      <c r="Q3" s="14"/>
      <c r="R3" s="15"/>
      <c r="U3" s="10" t="s">
        <v>16</v>
      </c>
      <c r="V3" s="10"/>
      <c r="W3" s="10"/>
      <c r="X3" s="10"/>
      <c r="Y3" s="10"/>
      <c r="Z3" s="10"/>
      <c r="AA3" s="10"/>
      <c r="AE3" s="13" t="s">
        <v>2</v>
      </c>
      <c r="AF3" s="14"/>
      <c r="AG3" s="14"/>
      <c r="AH3" s="14"/>
      <c r="AI3" s="14"/>
      <c r="AJ3" s="14"/>
      <c r="AK3" s="15"/>
    </row>
    <row r="4" spans="1:37" ht="105" x14ac:dyDescent="0.25">
      <c r="A4" s="5"/>
      <c r="B4" s="1" t="s">
        <v>5</v>
      </c>
      <c r="C4" s="6" t="s">
        <v>6</v>
      </c>
      <c r="D4" s="1" t="s">
        <v>7</v>
      </c>
      <c r="E4" s="6" t="s">
        <v>8</v>
      </c>
      <c r="F4" s="1" t="s">
        <v>1</v>
      </c>
      <c r="G4" s="1" t="s">
        <v>0</v>
      </c>
      <c r="L4" s="7"/>
      <c r="M4" s="1" t="s">
        <v>5</v>
      </c>
      <c r="N4" s="6" t="s">
        <v>6</v>
      </c>
      <c r="O4" s="1" t="s">
        <v>7</v>
      </c>
      <c r="P4" s="6" t="s">
        <v>8</v>
      </c>
      <c r="Q4" s="1" t="s">
        <v>1</v>
      </c>
      <c r="R4" s="1" t="s">
        <v>0</v>
      </c>
      <c r="U4" s="5"/>
      <c r="V4" s="1" t="s">
        <v>5</v>
      </c>
      <c r="W4" s="6" t="s">
        <v>6</v>
      </c>
      <c r="X4" s="6" t="s">
        <v>7</v>
      </c>
      <c r="Y4" s="6" t="s">
        <v>8</v>
      </c>
      <c r="Z4" s="1" t="s">
        <v>1</v>
      </c>
      <c r="AA4" s="1" t="s">
        <v>0</v>
      </c>
      <c r="AE4" s="7"/>
      <c r="AF4" s="1" t="s">
        <v>5</v>
      </c>
      <c r="AG4" s="6" t="s">
        <v>6</v>
      </c>
      <c r="AH4" s="1" t="s">
        <v>7</v>
      </c>
      <c r="AI4" s="6" t="s">
        <v>8</v>
      </c>
      <c r="AJ4" s="1" t="s">
        <v>1</v>
      </c>
      <c r="AK4" s="1" t="s">
        <v>0</v>
      </c>
    </row>
    <row r="5" spans="1:37" x14ac:dyDescent="0.25">
      <c r="A5" s="1" t="s">
        <v>9</v>
      </c>
      <c r="B5">
        <v>3296</v>
      </c>
      <c r="C5">
        <v>3264</v>
      </c>
      <c r="D5">
        <v>5302</v>
      </c>
      <c r="E5">
        <v>4977</v>
      </c>
      <c r="F5">
        <v>770</v>
      </c>
      <c r="G5">
        <v>870</v>
      </c>
      <c r="L5" s="1" t="s">
        <v>9</v>
      </c>
      <c r="M5">
        <v>31.449000000000002</v>
      </c>
      <c r="N5">
        <v>25.231999999999999</v>
      </c>
      <c r="O5">
        <v>2.286</v>
      </c>
      <c r="P5">
        <v>1.27</v>
      </c>
      <c r="Q5">
        <v>2.2949999999999999</v>
      </c>
      <c r="R5">
        <v>1.244</v>
      </c>
      <c r="U5" s="1" t="s">
        <v>9</v>
      </c>
      <c r="V5">
        <v>0</v>
      </c>
      <c r="W5">
        <v>0</v>
      </c>
      <c r="X5">
        <v>0</v>
      </c>
      <c r="Y5">
        <v>0</v>
      </c>
      <c r="Z5">
        <v>0.49513000000000001</v>
      </c>
      <c r="AA5">
        <v>0.51400000000000001</v>
      </c>
      <c r="AE5" s="1" t="s">
        <v>9</v>
      </c>
      <c r="AF5">
        <v>359</v>
      </c>
      <c r="AG5">
        <v>211</v>
      </c>
      <c r="AH5">
        <v>1092</v>
      </c>
      <c r="AI5">
        <v>1072</v>
      </c>
      <c r="AJ5">
        <v>8</v>
      </c>
      <c r="AK5">
        <v>44</v>
      </c>
    </row>
    <row r="6" spans="1:37" x14ac:dyDescent="0.25">
      <c r="A6" s="1" t="s">
        <v>10</v>
      </c>
      <c r="B6">
        <v>3325</v>
      </c>
      <c r="C6">
        <v>3775</v>
      </c>
      <c r="D6">
        <v>5067</v>
      </c>
      <c r="E6">
        <v>4491</v>
      </c>
      <c r="F6">
        <v>786</v>
      </c>
      <c r="G6">
        <v>959</v>
      </c>
      <c r="L6" s="1" t="s">
        <v>10</v>
      </c>
      <c r="M6">
        <v>30.937000000000001</v>
      </c>
      <c r="N6">
        <v>28.866</v>
      </c>
      <c r="O6">
        <v>2.383</v>
      </c>
      <c r="P6">
        <v>1.171</v>
      </c>
      <c r="Q6">
        <v>1.569</v>
      </c>
      <c r="R6">
        <v>1.5449999999999999</v>
      </c>
      <c r="U6" s="1" t="s">
        <v>10</v>
      </c>
      <c r="V6">
        <v>0</v>
      </c>
      <c r="W6">
        <v>0</v>
      </c>
      <c r="X6">
        <v>0</v>
      </c>
      <c r="Y6">
        <v>0</v>
      </c>
      <c r="Z6">
        <v>0.497</v>
      </c>
      <c r="AA6">
        <v>0.51400000000000001</v>
      </c>
      <c r="AE6" s="1" t="s">
        <v>10</v>
      </c>
      <c r="AF6">
        <v>118</v>
      </c>
      <c r="AG6">
        <v>533</v>
      </c>
      <c r="AH6">
        <v>1002</v>
      </c>
      <c r="AI6">
        <v>1100</v>
      </c>
      <c r="AJ6">
        <v>22</v>
      </c>
      <c r="AK6">
        <v>46</v>
      </c>
    </row>
    <row r="7" spans="1:37" x14ac:dyDescent="0.25">
      <c r="A7" s="1" t="s">
        <v>11</v>
      </c>
      <c r="B7">
        <v>2922</v>
      </c>
      <c r="C7">
        <v>3776</v>
      </c>
      <c r="D7">
        <v>4514</v>
      </c>
      <c r="E7">
        <v>5187</v>
      </c>
      <c r="F7">
        <v>728</v>
      </c>
      <c r="G7">
        <v>933</v>
      </c>
      <c r="L7" s="1" t="s">
        <v>11</v>
      </c>
      <c r="M7">
        <v>29.626000000000001</v>
      </c>
      <c r="N7">
        <v>27.777999999999999</v>
      </c>
      <c r="O7">
        <v>6.4290000000000003</v>
      </c>
      <c r="P7">
        <v>1.274</v>
      </c>
      <c r="Q7">
        <v>1.573</v>
      </c>
      <c r="R7">
        <v>1.548</v>
      </c>
      <c r="U7" s="1" t="s">
        <v>11</v>
      </c>
      <c r="V7">
        <v>0</v>
      </c>
      <c r="W7">
        <v>0</v>
      </c>
      <c r="X7">
        <v>0</v>
      </c>
      <c r="Y7">
        <v>0</v>
      </c>
      <c r="Z7">
        <v>0.47899999999999998</v>
      </c>
      <c r="AA7">
        <v>0.51400000000000001</v>
      </c>
      <c r="AE7" s="1" t="s">
        <v>11</v>
      </c>
      <c r="AF7">
        <v>286</v>
      </c>
      <c r="AG7">
        <v>587</v>
      </c>
      <c r="AH7">
        <v>986</v>
      </c>
      <c r="AI7">
        <v>1137</v>
      </c>
      <c r="AJ7">
        <v>24</v>
      </c>
      <c r="AK7">
        <v>32</v>
      </c>
    </row>
    <row r="8" spans="1:37" x14ac:dyDescent="0.25">
      <c r="A8" s="1" t="s">
        <v>12</v>
      </c>
      <c r="B8">
        <v>3847</v>
      </c>
      <c r="C8">
        <v>3329</v>
      </c>
      <c r="D8">
        <v>4574</v>
      </c>
      <c r="E8">
        <v>4809</v>
      </c>
      <c r="F8">
        <v>728</v>
      </c>
      <c r="G8">
        <v>927</v>
      </c>
      <c r="L8" s="1" t="s">
        <v>12</v>
      </c>
      <c r="M8">
        <v>28.664000000000001</v>
      </c>
      <c r="N8">
        <v>28.257000000000001</v>
      </c>
      <c r="O8">
        <v>2.73</v>
      </c>
      <c r="P8">
        <v>1.2150000000000001</v>
      </c>
      <c r="Q8">
        <v>1.7410000000000001</v>
      </c>
      <c r="R8">
        <v>1.895</v>
      </c>
      <c r="U8" s="1" t="s">
        <v>12</v>
      </c>
      <c r="V8">
        <v>0</v>
      </c>
      <c r="W8">
        <v>0</v>
      </c>
      <c r="X8">
        <v>0</v>
      </c>
      <c r="Y8">
        <v>0</v>
      </c>
      <c r="Z8">
        <v>0.48599999999999999</v>
      </c>
      <c r="AA8">
        <v>0.51500000000000001</v>
      </c>
      <c r="AE8" s="1" t="s">
        <v>12</v>
      </c>
      <c r="AF8">
        <v>341</v>
      </c>
      <c r="AG8">
        <v>578</v>
      </c>
      <c r="AH8">
        <v>999</v>
      </c>
      <c r="AI8">
        <v>1024</v>
      </c>
      <c r="AJ8">
        <v>25</v>
      </c>
      <c r="AK8">
        <v>39</v>
      </c>
    </row>
    <row r="9" spans="1:37" x14ac:dyDescent="0.25">
      <c r="A9" s="1" t="s">
        <v>13</v>
      </c>
      <c r="B9">
        <v>3300</v>
      </c>
      <c r="C9">
        <v>3837</v>
      </c>
      <c r="D9">
        <v>4914</v>
      </c>
      <c r="E9">
        <v>5122</v>
      </c>
      <c r="F9">
        <v>753</v>
      </c>
      <c r="G9">
        <v>897</v>
      </c>
      <c r="L9" s="1" t="s">
        <v>13</v>
      </c>
      <c r="M9">
        <v>27.984000000000002</v>
      </c>
      <c r="N9">
        <v>27.231000000000002</v>
      </c>
      <c r="O9">
        <v>2.46</v>
      </c>
      <c r="P9">
        <v>1.256</v>
      </c>
      <c r="Q9">
        <v>1.6479999999999999</v>
      </c>
      <c r="R9">
        <v>1.482</v>
      </c>
      <c r="U9" s="1" t="s">
        <v>13</v>
      </c>
      <c r="V9">
        <v>0</v>
      </c>
      <c r="W9">
        <v>0</v>
      </c>
      <c r="X9">
        <v>0</v>
      </c>
      <c r="Y9">
        <v>0</v>
      </c>
      <c r="Z9">
        <v>0.49359999999999998</v>
      </c>
      <c r="AA9">
        <v>0.51500000000000001</v>
      </c>
      <c r="AE9" s="1" t="s">
        <v>13</v>
      </c>
      <c r="AF9">
        <v>126</v>
      </c>
      <c r="AG9">
        <v>291</v>
      </c>
      <c r="AH9">
        <v>1084</v>
      </c>
      <c r="AI9">
        <v>1147</v>
      </c>
      <c r="AJ9">
        <v>20</v>
      </c>
      <c r="AK9">
        <v>33</v>
      </c>
    </row>
    <row r="11" spans="1:37" x14ac:dyDescent="0.25">
      <c r="U11" s="16" t="s">
        <v>17</v>
      </c>
      <c r="V11" s="16"/>
      <c r="W11" s="16"/>
    </row>
    <row r="12" spans="1:37" x14ac:dyDescent="0.25">
      <c r="V12" s="1" t="s">
        <v>0</v>
      </c>
      <c r="W12" s="1" t="s">
        <v>1</v>
      </c>
    </row>
    <row r="13" spans="1:37" x14ac:dyDescent="0.25">
      <c r="U13" s="1" t="s">
        <v>9</v>
      </c>
      <c r="V13" s="4">
        <v>0.72440000000000004</v>
      </c>
      <c r="W13" s="4">
        <v>0.69343999999999995</v>
      </c>
    </row>
    <row r="14" spans="1:37" x14ac:dyDescent="0.25">
      <c r="C14" t="s">
        <v>3</v>
      </c>
      <c r="L14" s="11" t="s">
        <v>19</v>
      </c>
      <c r="M14" s="11"/>
      <c r="N14" s="11"/>
      <c r="O14" s="11"/>
      <c r="P14" s="11"/>
      <c r="Q14" s="11"/>
      <c r="R14" s="11"/>
      <c r="U14" s="1" t="s">
        <v>10</v>
      </c>
      <c r="V14" s="4">
        <v>0.71919</v>
      </c>
      <c r="W14" s="4">
        <v>0.69789999999999996</v>
      </c>
      <c r="AE14" s="11" t="s">
        <v>19</v>
      </c>
      <c r="AF14" s="11"/>
      <c r="AG14" s="11"/>
      <c r="AH14" s="11"/>
      <c r="AI14" s="11"/>
      <c r="AJ14" s="11"/>
      <c r="AK14" s="11"/>
    </row>
    <row r="15" spans="1:37" x14ac:dyDescent="0.25">
      <c r="A15" s="11" t="s">
        <v>19</v>
      </c>
      <c r="B15" s="11"/>
      <c r="C15" s="11"/>
      <c r="D15" s="11"/>
      <c r="E15" s="11"/>
      <c r="F15" s="11"/>
      <c r="G15" s="11"/>
      <c r="L15" s="13" t="s">
        <v>15</v>
      </c>
      <c r="M15" s="14"/>
      <c r="N15" s="14"/>
      <c r="O15" s="14"/>
      <c r="P15" s="14"/>
      <c r="Q15" s="14"/>
      <c r="R15" s="15"/>
      <c r="U15" s="1" t="s">
        <v>11</v>
      </c>
      <c r="V15" s="4">
        <v>0.72238999999999998</v>
      </c>
      <c r="W15" s="4">
        <v>0.68044000000000004</v>
      </c>
      <c r="AE15" s="13" t="s">
        <v>2</v>
      </c>
      <c r="AF15" s="14"/>
      <c r="AG15" s="14"/>
      <c r="AH15" s="14"/>
      <c r="AI15" s="14"/>
      <c r="AJ15" s="14"/>
      <c r="AK15" s="15"/>
    </row>
    <row r="16" spans="1:37" ht="105" x14ac:dyDescent="0.25">
      <c r="A16" s="10" t="s">
        <v>4</v>
      </c>
      <c r="B16" s="10"/>
      <c r="C16" s="10"/>
      <c r="D16" s="10"/>
      <c r="E16" s="10"/>
      <c r="F16" s="10"/>
      <c r="G16" s="10"/>
      <c r="L16" s="7"/>
      <c r="M16" s="1" t="s">
        <v>5</v>
      </c>
      <c r="N16" s="6" t="s">
        <v>6</v>
      </c>
      <c r="O16" s="1" t="s">
        <v>7</v>
      </c>
      <c r="P16" s="6" t="s">
        <v>8</v>
      </c>
      <c r="Q16" s="1" t="s">
        <v>1</v>
      </c>
      <c r="R16" s="1" t="s">
        <v>0</v>
      </c>
      <c r="U16" s="1" t="s">
        <v>12</v>
      </c>
      <c r="V16" s="4">
        <v>0.72345999999999999</v>
      </c>
      <c r="W16" s="4">
        <v>0.68391999999999997</v>
      </c>
      <c r="AE16" s="7"/>
      <c r="AF16" s="1" t="s">
        <v>5</v>
      </c>
      <c r="AG16" s="6" t="s">
        <v>6</v>
      </c>
      <c r="AH16" s="1" t="s">
        <v>7</v>
      </c>
      <c r="AI16" s="6" t="s">
        <v>8</v>
      </c>
      <c r="AJ16" s="1" t="s">
        <v>1</v>
      </c>
      <c r="AK16" s="1" t="s">
        <v>0</v>
      </c>
    </row>
    <row r="17" spans="1:37" ht="45" x14ac:dyDescent="0.25">
      <c r="A17" s="5"/>
      <c r="B17" s="1" t="s">
        <v>5</v>
      </c>
      <c r="C17" s="6" t="s">
        <v>6</v>
      </c>
      <c r="D17" s="1" t="s">
        <v>7</v>
      </c>
      <c r="E17" s="6" t="s">
        <v>8</v>
      </c>
      <c r="F17" s="1" t="s">
        <v>1</v>
      </c>
      <c r="G17" s="1" t="s">
        <v>0</v>
      </c>
      <c r="L17" s="1" t="s">
        <v>9</v>
      </c>
      <c r="M17">
        <v>33.372</v>
      </c>
      <c r="N17">
        <v>28.873000000000001</v>
      </c>
      <c r="O17">
        <v>4.2450000000000001</v>
      </c>
      <c r="P17">
        <v>1.0960000000000001</v>
      </c>
      <c r="Q17">
        <v>1.27</v>
      </c>
      <c r="R17">
        <v>1.2050000000000001</v>
      </c>
      <c r="U17" s="1" t="s">
        <v>13</v>
      </c>
      <c r="V17" s="4">
        <v>0.72050000000000003</v>
      </c>
      <c r="W17" s="4">
        <v>0.69340999999999997</v>
      </c>
      <c r="AE17" s="1" t="s">
        <v>9</v>
      </c>
      <c r="AF17">
        <v>499</v>
      </c>
      <c r="AG17">
        <v>660</v>
      </c>
      <c r="AH17">
        <v>1535</v>
      </c>
      <c r="AI17">
        <v>1031</v>
      </c>
      <c r="AJ17">
        <v>31</v>
      </c>
      <c r="AK17">
        <v>42</v>
      </c>
    </row>
    <row r="18" spans="1:37" x14ac:dyDescent="0.25">
      <c r="A18" s="1" t="s">
        <v>9</v>
      </c>
      <c r="B18">
        <v>3660</v>
      </c>
      <c r="C18">
        <v>3160</v>
      </c>
      <c r="D18">
        <v>5824</v>
      </c>
      <c r="E18">
        <v>4611</v>
      </c>
      <c r="F18">
        <v>729</v>
      </c>
      <c r="G18">
        <v>939</v>
      </c>
      <c r="L18" s="1" t="s">
        <v>10</v>
      </c>
      <c r="M18">
        <v>27.506</v>
      </c>
      <c r="N18">
        <v>29.402000000000001</v>
      </c>
      <c r="O18">
        <v>2.7469999999999999</v>
      </c>
      <c r="P18">
        <v>1.413</v>
      </c>
      <c r="Q18">
        <v>1.5980000000000001</v>
      </c>
      <c r="R18">
        <v>1.419</v>
      </c>
      <c r="AE18" s="1" t="s">
        <v>10</v>
      </c>
      <c r="AF18">
        <v>668</v>
      </c>
      <c r="AG18">
        <v>384</v>
      </c>
      <c r="AH18">
        <v>1052</v>
      </c>
      <c r="AI18">
        <v>1063</v>
      </c>
      <c r="AJ18">
        <v>8</v>
      </c>
      <c r="AK18">
        <v>26</v>
      </c>
    </row>
    <row r="19" spans="1:37" x14ac:dyDescent="0.25">
      <c r="A19" s="1" t="s">
        <v>10</v>
      </c>
      <c r="B19">
        <v>3359</v>
      </c>
      <c r="C19">
        <v>3402</v>
      </c>
      <c r="D19">
        <v>5103</v>
      </c>
      <c r="E19">
        <v>4239</v>
      </c>
      <c r="F19">
        <v>760</v>
      </c>
      <c r="G19">
        <v>880</v>
      </c>
      <c r="L19" s="1" t="s">
        <v>11</v>
      </c>
      <c r="M19">
        <v>25.67</v>
      </c>
      <c r="N19">
        <v>26.16</v>
      </c>
      <c r="O19">
        <v>4.9569999999999999</v>
      </c>
      <c r="P19">
        <v>1.1080000000000001</v>
      </c>
      <c r="Q19">
        <v>1.6859999999999999</v>
      </c>
      <c r="R19">
        <v>1.4910000000000001</v>
      </c>
      <c r="AE19" s="1" t="s">
        <v>11</v>
      </c>
      <c r="AF19">
        <v>260</v>
      </c>
      <c r="AG19">
        <v>438</v>
      </c>
      <c r="AH19">
        <v>1084</v>
      </c>
      <c r="AI19">
        <v>1108</v>
      </c>
      <c r="AJ19">
        <v>13</v>
      </c>
      <c r="AK19">
        <v>34</v>
      </c>
    </row>
    <row r="20" spans="1:37" x14ac:dyDescent="0.25">
      <c r="A20" s="1" t="s">
        <v>11</v>
      </c>
      <c r="B20">
        <v>3175</v>
      </c>
      <c r="C20">
        <v>3575</v>
      </c>
      <c r="D20">
        <v>4560</v>
      </c>
      <c r="E20">
        <v>4338</v>
      </c>
      <c r="F20">
        <v>737</v>
      </c>
      <c r="G20">
        <v>882</v>
      </c>
      <c r="L20" s="1" t="s">
        <v>12</v>
      </c>
      <c r="M20">
        <v>32.276000000000003</v>
      </c>
      <c r="N20">
        <v>31.315000000000001</v>
      </c>
      <c r="O20">
        <v>3.9039999999999999</v>
      </c>
      <c r="P20">
        <v>1.3939999999999999</v>
      </c>
      <c r="Q20">
        <v>1.71</v>
      </c>
      <c r="R20">
        <v>1.5129999999999999</v>
      </c>
      <c r="AE20" s="1" t="s">
        <v>12</v>
      </c>
      <c r="AF20">
        <v>273</v>
      </c>
      <c r="AG20">
        <v>206</v>
      </c>
      <c r="AH20">
        <v>1322</v>
      </c>
      <c r="AI20">
        <v>970</v>
      </c>
      <c r="AJ20">
        <v>7</v>
      </c>
      <c r="AK20">
        <v>44</v>
      </c>
    </row>
    <row r="21" spans="1:37" x14ac:dyDescent="0.25">
      <c r="A21" s="1" t="s">
        <v>12</v>
      </c>
      <c r="B21">
        <v>3705</v>
      </c>
      <c r="C21">
        <v>3933</v>
      </c>
      <c r="D21">
        <v>5271</v>
      </c>
      <c r="E21">
        <v>4924</v>
      </c>
      <c r="F21">
        <v>774</v>
      </c>
      <c r="G21">
        <v>1064</v>
      </c>
      <c r="L21" s="1" t="s">
        <v>13</v>
      </c>
      <c r="M21">
        <v>25.640999999999998</v>
      </c>
      <c r="N21">
        <v>28.637</v>
      </c>
      <c r="O21">
        <v>4.2309999999999999</v>
      </c>
      <c r="P21">
        <v>1.173</v>
      </c>
      <c r="Q21">
        <v>1.8109999999999999</v>
      </c>
      <c r="R21">
        <v>1.4950000000000001</v>
      </c>
      <c r="AE21" s="1" t="s">
        <v>13</v>
      </c>
      <c r="AF21">
        <v>592</v>
      </c>
      <c r="AG21">
        <v>341</v>
      </c>
      <c r="AH21">
        <v>1670</v>
      </c>
      <c r="AI21">
        <v>1064</v>
      </c>
      <c r="AJ21">
        <v>10</v>
      </c>
      <c r="AK21">
        <v>124</v>
      </c>
    </row>
    <row r="22" spans="1:37" x14ac:dyDescent="0.25">
      <c r="A22" s="1" t="s">
        <v>13</v>
      </c>
      <c r="B22">
        <v>3543</v>
      </c>
      <c r="C22">
        <v>3460</v>
      </c>
      <c r="D22">
        <v>5907</v>
      </c>
      <c r="E22">
        <v>4577</v>
      </c>
      <c r="F22">
        <v>725</v>
      </c>
      <c r="G22">
        <v>1420</v>
      </c>
      <c r="U22" s="11" t="s">
        <v>19</v>
      </c>
      <c r="V22" s="11"/>
      <c r="W22" s="11"/>
      <c r="X22" s="11"/>
      <c r="Y22" s="11"/>
      <c r="Z22" s="11"/>
      <c r="AA22" s="11"/>
    </row>
    <row r="23" spans="1:37" x14ac:dyDescent="0.25">
      <c r="U23" s="10" t="s">
        <v>16</v>
      </c>
      <c r="V23" s="10"/>
      <c r="W23" s="10"/>
      <c r="X23" s="10"/>
      <c r="Y23" s="10"/>
      <c r="Z23" s="10"/>
      <c r="AA23" s="10"/>
    </row>
    <row r="24" spans="1:37" ht="105" x14ac:dyDescent="0.25">
      <c r="U24" s="5"/>
      <c r="V24" s="1" t="s">
        <v>5</v>
      </c>
      <c r="W24" s="6" t="s">
        <v>6</v>
      </c>
      <c r="X24" s="6" t="s">
        <v>7</v>
      </c>
      <c r="Y24" s="6" t="s">
        <v>8</v>
      </c>
      <c r="Z24" s="1" t="s">
        <v>1</v>
      </c>
      <c r="AA24" s="1" t="s">
        <v>0</v>
      </c>
    </row>
    <row r="25" spans="1:37" x14ac:dyDescent="0.25">
      <c r="L25" s="11" t="s">
        <v>20</v>
      </c>
      <c r="M25" s="11"/>
      <c r="N25" s="11"/>
      <c r="O25" s="11"/>
      <c r="P25" s="11"/>
      <c r="Q25" s="11"/>
      <c r="R25" s="11"/>
      <c r="U25" s="1" t="s">
        <v>9</v>
      </c>
      <c r="V25">
        <v>0</v>
      </c>
      <c r="W25">
        <v>0</v>
      </c>
      <c r="X25">
        <v>0</v>
      </c>
      <c r="Y25">
        <v>0</v>
      </c>
      <c r="Z25">
        <v>0.24129999999999999</v>
      </c>
      <c r="AA25">
        <v>0.28599999999999998</v>
      </c>
      <c r="AE25" s="11" t="s">
        <v>20</v>
      </c>
      <c r="AF25" s="11"/>
      <c r="AG25" s="11"/>
      <c r="AH25" s="11"/>
      <c r="AI25" s="11"/>
      <c r="AJ25" s="11"/>
      <c r="AK25" s="11"/>
    </row>
    <row r="26" spans="1:37" x14ac:dyDescent="0.25">
      <c r="L26" s="13" t="s">
        <v>15</v>
      </c>
      <c r="M26" s="14"/>
      <c r="N26" s="14"/>
      <c r="O26" s="14"/>
      <c r="P26" s="14"/>
      <c r="Q26" s="14"/>
      <c r="R26" s="15"/>
      <c r="U26" s="1" t="s">
        <v>10</v>
      </c>
      <c r="V26">
        <v>0</v>
      </c>
      <c r="W26">
        <v>0</v>
      </c>
      <c r="X26">
        <v>0</v>
      </c>
      <c r="Y26">
        <v>0</v>
      </c>
      <c r="Z26">
        <v>0.24249999999999999</v>
      </c>
      <c r="AA26">
        <v>0.27800000000000002</v>
      </c>
      <c r="AE26" s="13" t="s">
        <v>2</v>
      </c>
      <c r="AF26" s="14"/>
      <c r="AG26" s="14"/>
      <c r="AH26" s="14"/>
      <c r="AI26" s="14"/>
      <c r="AJ26" s="14"/>
      <c r="AK26" s="15"/>
    </row>
    <row r="27" spans="1:37" ht="105" x14ac:dyDescent="0.25">
      <c r="C27" t="s">
        <v>3</v>
      </c>
      <c r="L27" s="7"/>
      <c r="M27" s="1" t="s">
        <v>5</v>
      </c>
      <c r="N27" s="6" t="s">
        <v>6</v>
      </c>
      <c r="O27" s="1" t="s">
        <v>7</v>
      </c>
      <c r="P27" s="6" t="s">
        <v>8</v>
      </c>
      <c r="Q27" s="1" t="s">
        <v>1</v>
      </c>
      <c r="R27" s="1" t="s">
        <v>0</v>
      </c>
      <c r="U27" s="1" t="s">
        <v>11</v>
      </c>
      <c r="V27">
        <v>0</v>
      </c>
      <c r="W27">
        <v>0</v>
      </c>
      <c r="X27">
        <v>0</v>
      </c>
      <c r="Y27">
        <v>0</v>
      </c>
      <c r="Z27">
        <v>0.26700000000000002</v>
      </c>
      <c r="AA27">
        <v>0.28649999999999998</v>
      </c>
      <c r="AE27" s="7"/>
      <c r="AF27" s="1" t="s">
        <v>5</v>
      </c>
      <c r="AG27" s="6" t="s">
        <v>6</v>
      </c>
      <c r="AH27" s="1" t="s">
        <v>7</v>
      </c>
      <c r="AI27" s="6" t="s">
        <v>8</v>
      </c>
      <c r="AJ27" s="1" t="s">
        <v>1</v>
      </c>
      <c r="AK27" s="1" t="s">
        <v>0</v>
      </c>
    </row>
    <row r="28" spans="1:37" x14ac:dyDescent="0.25">
      <c r="A28" s="11" t="s">
        <v>20</v>
      </c>
      <c r="B28" s="11"/>
      <c r="C28" s="11"/>
      <c r="D28" s="11"/>
      <c r="E28" s="11"/>
      <c r="F28" s="11"/>
      <c r="G28" s="11"/>
      <c r="L28" s="1" t="s">
        <v>9</v>
      </c>
      <c r="M28">
        <v>32.566000000000003</v>
      </c>
      <c r="N28">
        <v>32.759</v>
      </c>
      <c r="O28">
        <v>4.0049999999999999</v>
      </c>
      <c r="P28">
        <v>1.3420000000000001</v>
      </c>
      <c r="Q28">
        <v>1.865</v>
      </c>
      <c r="R28">
        <v>1.173</v>
      </c>
      <c r="U28" s="1" t="s">
        <v>12</v>
      </c>
      <c r="V28">
        <v>0</v>
      </c>
      <c r="W28">
        <v>0</v>
      </c>
      <c r="X28">
        <v>0</v>
      </c>
      <c r="Y28">
        <v>0</v>
      </c>
      <c r="Z28">
        <v>0.26900000000000002</v>
      </c>
      <c r="AA28">
        <v>0.28599999999999998</v>
      </c>
      <c r="AE28" s="1" t="s">
        <v>9</v>
      </c>
      <c r="AF28">
        <v>353</v>
      </c>
      <c r="AG28">
        <v>306</v>
      </c>
      <c r="AH28">
        <v>2999</v>
      </c>
      <c r="AI28">
        <v>1210</v>
      </c>
      <c r="AJ28">
        <v>7</v>
      </c>
      <c r="AK28">
        <v>62</v>
      </c>
    </row>
    <row r="29" spans="1:37" x14ac:dyDescent="0.25">
      <c r="A29" s="10" t="s">
        <v>4</v>
      </c>
      <c r="B29" s="10"/>
      <c r="C29" s="10"/>
      <c r="D29" s="10"/>
      <c r="E29" s="10"/>
      <c r="F29" s="10"/>
      <c r="G29" s="10"/>
      <c r="L29" s="1" t="s">
        <v>10</v>
      </c>
      <c r="M29">
        <v>34.100999999999999</v>
      </c>
      <c r="N29">
        <v>30.863</v>
      </c>
      <c r="O29">
        <v>3.835</v>
      </c>
      <c r="P29">
        <v>1.454</v>
      </c>
      <c r="Q29">
        <v>1.716</v>
      </c>
      <c r="R29">
        <v>1.579</v>
      </c>
      <c r="U29" s="1" t="s">
        <v>13</v>
      </c>
      <c r="V29">
        <v>0</v>
      </c>
      <c r="W29">
        <v>0</v>
      </c>
      <c r="X29">
        <v>0</v>
      </c>
      <c r="Y29">
        <v>0</v>
      </c>
      <c r="Z29">
        <v>0.27</v>
      </c>
      <c r="AA29">
        <v>0.28599999999999998</v>
      </c>
      <c r="AE29" s="1" t="s">
        <v>10</v>
      </c>
      <c r="AF29">
        <v>472</v>
      </c>
      <c r="AG29">
        <v>390</v>
      </c>
      <c r="AH29">
        <v>2646</v>
      </c>
      <c r="AI29">
        <v>1107</v>
      </c>
      <c r="AJ29">
        <v>18</v>
      </c>
      <c r="AK29">
        <v>29</v>
      </c>
    </row>
    <row r="30" spans="1:37" ht="45" customHeight="1" x14ac:dyDescent="0.25">
      <c r="A30" s="5"/>
      <c r="B30" s="1" t="s">
        <v>5</v>
      </c>
      <c r="C30" s="6" t="s">
        <v>6</v>
      </c>
      <c r="D30" s="1" t="s">
        <v>7</v>
      </c>
      <c r="E30" s="6" t="s">
        <v>8</v>
      </c>
      <c r="F30" s="1" t="s">
        <v>1</v>
      </c>
      <c r="G30" s="1" t="s">
        <v>0</v>
      </c>
      <c r="L30" s="1" t="s">
        <v>11</v>
      </c>
      <c r="M30">
        <v>35.353000000000002</v>
      </c>
      <c r="N30">
        <v>37.700000000000003</v>
      </c>
      <c r="O30">
        <v>3.1739999999999999</v>
      </c>
      <c r="P30">
        <v>1.1659999999999999</v>
      </c>
      <c r="Q30">
        <v>1.998</v>
      </c>
      <c r="R30">
        <v>1.6779999999999999</v>
      </c>
      <c r="AE30" s="1" t="s">
        <v>11</v>
      </c>
      <c r="AF30">
        <v>422</v>
      </c>
      <c r="AG30">
        <v>271</v>
      </c>
      <c r="AH30">
        <v>2870</v>
      </c>
      <c r="AI30">
        <v>1089</v>
      </c>
      <c r="AJ30">
        <v>17</v>
      </c>
      <c r="AK30">
        <v>24</v>
      </c>
    </row>
    <row r="31" spans="1:37" x14ac:dyDescent="0.25">
      <c r="A31" s="1" t="s">
        <v>9</v>
      </c>
      <c r="B31">
        <v>3458</v>
      </c>
      <c r="C31">
        <v>3307</v>
      </c>
      <c r="D31">
        <v>7057</v>
      </c>
      <c r="E31">
        <v>4801</v>
      </c>
      <c r="F31">
        <v>741</v>
      </c>
      <c r="G31">
        <v>968</v>
      </c>
      <c r="L31" s="1" t="s">
        <v>12</v>
      </c>
      <c r="M31">
        <v>38.859000000000002</v>
      </c>
      <c r="N31">
        <v>28.952000000000002</v>
      </c>
      <c r="O31">
        <v>2.9950000000000001</v>
      </c>
      <c r="P31">
        <v>1.4259999999999999</v>
      </c>
      <c r="Q31">
        <v>1.591</v>
      </c>
      <c r="R31">
        <v>1.7090000000000001</v>
      </c>
      <c r="U31" s="16" t="s">
        <v>17</v>
      </c>
      <c r="V31" s="16"/>
      <c r="W31" s="16"/>
      <c r="AE31" s="1" t="s">
        <v>12</v>
      </c>
      <c r="AF31">
        <v>441</v>
      </c>
      <c r="AG31">
        <v>287</v>
      </c>
      <c r="AH31">
        <v>2837</v>
      </c>
      <c r="AI31">
        <v>1078</v>
      </c>
      <c r="AJ31">
        <v>9</v>
      </c>
      <c r="AK31">
        <v>30</v>
      </c>
    </row>
    <row r="32" spans="1:37" x14ac:dyDescent="0.25">
      <c r="A32" s="1" t="s">
        <v>10</v>
      </c>
      <c r="B32">
        <v>3488</v>
      </c>
      <c r="C32">
        <v>3429</v>
      </c>
      <c r="D32">
        <v>6216</v>
      </c>
      <c r="E32">
        <v>4288</v>
      </c>
      <c r="F32">
        <v>737</v>
      </c>
      <c r="G32">
        <v>857</v>
      </c>
      <c r="L32" s="1" t="s">
        <v>13</v>
      </c>
      <c r="M32">
        <v>35.360999999999997</v>
      </c>
      <c r="N32">
        <v>33.694000000000003</v>
      </c>
      <c r="O32">
        <v>3.343</v>
      </c>
      <c r="P32">
        <v>1.3080000000000001</v>
      </c>
      <c r="Q32">
        <v>1.895</v>
      </c>
      <c r="R32">
        <v>1.4370000000000001</v>
      </c>
      <c r="V32" s="1" t="s">
        <v>0</v>
      </c>
      <c r="W32" s="1" t="s">
        <v>1</v>
      </c>
      <c r="AE32" s="1" t="s">
        <v>13</v>
      </c>
      <c r="AF32">
        <v>524</v>
      </c>
      <c r="AG32">
        <v>494</v>
      </c>
      <c r="AH32">
        <v>3070</v>
      </c>
      <c r="AI32">
        <v>1159</v>
      </c>
      <c r="AJ32">
        <v>8</v>
      </c>
      <c r="AK32">
        <v>109</v>
      </c>
    </row>
    <row r="33" spans="1:37" x14ac:dyDescent="0.25">
      <c r="A33" s="1" t="s">
        <v>11</v>
      </c>
      <c r="B33">
        <v>2771</v>
      </c>
      <c r="C33">
        <v>2916</v>
      </c>
      <c r="D33">
        <v>7798</v>
      </c>
      <c r="E33">
        <v>4846</v>
      </c>
      <c r="F33">
        <v>750</v>
      </c>
      <c r="G33">
        <v>833</v>
      </c>
      <c r="U33" s="1" t="s">
        <v>9</v>
      </c>
      <c r="V33" s="4">
        <v>0.31175000000000003</v>
      </c>
      <c r="W33" s="4">
        <v>0.26079000000000002</v>
      </c>
    </row>
    <row r="34" spans="1:37" x14ac:dyDescent="0.25">
      <c r="A34" s="1" t="s">
        <v>12</v>
      </c>
      <c r="B34">
        <v>2764</v>
      </c>
      <c r="C34">
        <v>2826</v>
      </c>
      <c r="D34">
        <v>7253</v>
      </c>
      <c r="E34">
        <v>4857</v>
      </c>
      <c r="F34">
        <v>729</v>
      </c>
      <c r="G34">
        <v>853</v>
      </c>
      <c r="U34" s="1" t="s">
        <v>10</v>
      </c>
      <c r="V34" s="4">
        <v>0.30134</v>
      </c>
      <c r="W34" s="4">
        <v>0.26279999999999998</v>
      </c>
    </row>
    <row r="35" spans="1:37" x14ac:dyDescent="0.25">
      <c r="A35" s="1" t="s">
        <v>13</v>
      </c>
      <c r="B35">
        <v>3981</v>
      </c>
      <c r="C35">
        <v>2759</v>
      </c>
      <c r="D35">
        <v>7135</v>
      </c>
      <c r="E35">
        <v>4575</v>
      </c>
      <c r="F35">
        <v>823</v>
      </c>
      <c r="G35">
        <v>1158</v>
      </c>
      <c r="U35" s="1" t="s">
        <v>11</v>
      </c>
      <c r="V35" s="4">
        <v>0.31133</v>
      </c>
      <c r="W35" s="4">
        <v>0.28989999999999999</v>
      </c>
    </row>
    <row r="36" spans="1:37" x14ac:dyDescent="0.25">
      <c r="L36" s="11" t="s">
        <v>21</v>
      </c>
      <c r="M36" s="11"/>
      <c r="N36" s="11"/>
      <c r="O36" s="11"/>
      <c r="P36" s="11"/>
      <c r="Q36" s="11"/>
      <c r="R36" s="11"/>
      <c r="U36" s="1" t="s">
        <v>12</v>
      </c>
      <c r="V36" s="4">
        <v>0.30869999999999997</v>
      </c>
      <c r="W36" s="4">
        <v>0.29266999999999999</v>
      </c>
    </row>
    <row r="37" spans="1:37" x14ac:dyDescent="0.25">
      <c r="L37" s="13" t="s">
        <v>15</v>
      </c>
      <c r="M37" s="14"/>
      <c r="N37" s="14"/>
      <c r="O37" s="14"/>
      <c r="P37" s="14"/>
      <c r="Q37" s="14"/>
      <c r="R37" s="15"/>
      <c r="U37" s="1" t="s">
        <v>13</v>
      </c>
      <c r="V37" s="4">
        <v>0.30884</v>
      </c>
      <c r="W37" s="4">
        <v>0.29311999999999999</v>
      </c>
      <c r="AE37" s="11" t="s">
        <v>21</v>
      </c>
      <c r="AF37" s="11"/>
      <c r="AG37" s="11"/>
      <c r="AH37" s="11"/>
      <c r="AI37" s="11"/>
      <c r="AJ37" s="11"/>
      <c r="AK37" s="11"/>
    </row>
    <row r="38" spans="1:37" ht="105" customHeight="1" x14ac:dyDescent="0.25">
      <c r="L38" s="7"/>
      <c r="M38" s="1" t="s">
        <v>5</v>
      </c>
      <c r="N38" s="6" t="s">
        <v>6</v>
      </c>
      <c r="O38" s="1" t="s">
        <v>7</v>
      </c>
      <c r="P38" s="6" t="s">
        <v>8</v>
      </c>
      <c r="Q38" s="1" t="s">
        <v>1</v>
      </c>
      <c r="R38" s="1" t="s">
        <v>0</v>
      </c>
      <c r="AE38" s="13" t="s">
        <v>2</v>
      </c>
      <c r="AF38" s="14"/>
      <c r="AG38" s="14"/>
      <c r="AH38" s="14"/>
      <c r="AI38" s="14"/>
      <c r="AJ38" s="14"/>
      <c r="AK38" s="15"/>
    </row>
    <row r="39" spans="1:37" ht="105" x14ac:dyDescent="0.25">
      <c r="L39" s="1" t="s">
        <v>9</v>
      </c>
      <c r="M39">
        <v>30.933</v>
      </c>
      <c r="N39">
        <v>28.613</v>
      </c>
      <c r="O39">
        <v>12.901</v>
      </c>
      <c r="P39">
        <v>9.9610000000000003</v>
      </c>
      <c r="Q39">
        <v>1.3740000000000001</v>
      </c>
      <c r="R39">
        <v>1.224</v>
      </c>
      <c r="AE39" s="7"/>
      <c r="AF39" s="1" t="s">
        <v>5</v>
      </c>
      <c r="AG39" s="6" t="s">
        <v>6</v>
      </c>
      <c r="AH39" s="1" t="s">
        <v>7</v>
      </c>
      <c r="AI39" s="6" t="s">
        <v>8</v>
      </c>
      <c r="AJ39" s="1" t="s">
        <v>1</v>
      </c>
      <c r="AK39" s="1" t="s">
        <v>0</v>
      </c>
    </row>
    <row r="40" spans="1:37" x14ac:dyDescent="0.25">
      <c r="C40" t="s">
        <v>3</v>
      </c>
      <c r="L40" s="1" t="s">
        <v>10</v>
      </c>
      <c r="M40">
        <v>27.556999999999999</v>
      </c>
      <c r="N40">
        <v>27.376000000000001</v>
      </c>
      <c r="O40">
        <v>11.621</v>
      </c>
      <c r="P40">
        <v>10.269</v>
      </c>
      <c r="Q40">
        <v>1.552</v>
      </c>
      <c r="R40">
        <v>1.6020000000000001</v>
      </c>
      <c r="AE40" s="1" t="s">
        <v>9</v>
      </c>
      <c r="AF40">
        <v>445</v>
      </c>
      <c r="AG40">
        <v>461</v>
      </c>
      <c r="AH40">
        <v>1994</v>
      </c>
      <c r="AI40">
        <v>1081</v>
      </c>
      <c r="AJ40">
        <v>34</v>
      </c>
      <c r="AK40">
        <v>62</v>
      </c>
    </row>
    <row r="41" spans="1:37" x14ac:dyDescent="0.25">
      <c r="A41" s="11" t="s">
        <v>21</v>
      </c>
      <c r="B41" s="11"/>
      <c r="C41" s="11"/>
      <c r="D41" s="11"/>
      <c r="E41" s="11"/>
      <c r="F41" s="11"/>
      <c r="G41" s="11"/>
      <c r="L41" s="1" t="s">
        <v>11</v>
      </c>
      <c r="M41">
        <v>25.068999999999999</v>
      </c>
      <c r="N41">
        <v>26.045999999999999</v>
      </c>
      <c r="O41">
        <v>12.388999999999999</v>
      </c>
      <c r="P41">
        <v>10.313000000000001</v>
      </c>
      <c r="Q41">
        <v>1.6220000000000001</v>
      </c>
      <c r="R41">
        <v>1.4930000000000001</v>
      </c>
      <c r="U41" s="11" t="s">
        <v>20</v>
      </c>
      <c r="V41" s="11"/>
      <c r="W41" s="11"/>
      <c r="X41" s="11"/>
      <c r="Y41" s="11"/>
      <c r="Z41" s="11"/>
      <c r="AA41" s="11"/>
      <c r="AE41" s="1" t="s">
        <v>10</v>
      </c>
      <c r="AF41">
        <v>377</v>
      </c>
      <c r="AG41">
        <v>450</v>
      </c>
      <c r="AH41">
        <v>1981</v>
      </c>
      <c r="AI41">
        <v>1115</v>
      </c>
      <c r="AJ41">
        <v>8</v>
      </c>
      <c r="AK41">
        <v>59</v>
      </c>
    </row>
    <row r="42" spans="1:37" x14ac:dyDescent="0.25">
      <c r="A42" s="10" t="s">
        <v>4</v>
      </c>
      <c r="B42" s="10"/>
      <c r="C42" s="10"/>
      <c r="D42" s="10"/>
      <c r="E42" s="10"/>
      <c r="F42" s="10"/>
      <c r="G42" s="10"/>
      <c r="L42" s="1" t="s">
        <v>12</v>
      </c>
      <c r="M42">
        <v>25.222999999999999</v>
      </c>
      <c r="N42">
        <v>23.86</v>
      </c>
      <c r="O42">
        <v>15.494</v>
      </c>
      <c r="P42">
        <v>9.7759999999999998</v>
      </c>
      <c r="Q42">
        <v>1.5189999999999999</v>
      </c>
      <c r="R42">
        <v>1.579</v>
      </c>
      <c r="U42" s="10" t="s">
        <v>16</v>
      </c>
      <c r="V42" s="10"/>
      <c r="W42" s="10"/>
      <c r="X42" s="10"/>
      <c r="Y42" s="10"/>
      <c r="Z42" s="10"/>
      <c r="AA42" s="10"/>
      <c r="AE42" s="1" t="s">
        <v>11</v>
      </c>
      <c r="AF42">
        <v>312</v>
      </c>
      <c r="AG42">
        <v>364</v>
      </c>
      <c r="AH42">
        <v>1653</v>
      </c>
      <c r="AI42">
        <v>1087</v>
      </c>
      <c r="AJ42">
        <v>18</v>
      </c>
      <c r="AK42">
        <v>59</v>
      </c>
    </row>
    <row r="43" spans="1:37" ht="105" x14ac:dyDescent="0.25">
      <c r="A43" s="5"/>
      <c r="B43" s="1" t="s">
        <v>5</v>
      </c>
      <c r="C43" s="6" t="s">
        <v>6</v>
      </c>
      <c r="D43" s="1" t="s">
        <v>7</v>
      </c>
      <c r="E43" s="6" t="s">
        <v>8</v>
      </c>
      <c r="F43" s="1" t="s">
        <v>1</v>
      </c>
      <c r="G43" s="1" t="s">
        <v>0</v>
      </c>
      <c r="L43" s="1" t="s">
        <v>13</v>
      </c>
      <c r="M43">
        <v>26.837</v>
      </c>
      <c r="N43">
        <v>26.289000000000001</v>
      </c>
      <c r="O43">
        <v>11.911</v>
      </c>
      <c r="P43">
        <v>10.496</v>
      </c>
      <c r="Q43">
        <v>1.6759999999999999</v>
      </c>
      <c r="R43">
        <v>1.6739999999999999</v>
      </c>
      <c r="U43" s="5"/>
      <c r="V43" s="1" t="s">
        <v>5</v>
      </c>
      <c r="W43" s="6" t="s">
        <v>6</v>
      </c>
      <c r="X43" s="6" t="s">
        <v>7</v>
      </c>
      <c r="Y43" s="6" t="s">
        <v>8</v>
      </c>
      <c r="Z43" s="1" t="s">
        <v>1</v>
      </c>
      <c r="AA43" s="1" t="s">
        <v>0</v>
      </c>
      <c r="AE43" s="1" t="s">
        <v>12</v>
      </c>
      <c r="AF43">
        <v>317</v>
      </c>
      <c r="AG43">
        <v>438</v>
      </c>
      <c r="AH43">
        <v>1752</v>
      </c>
      <c r="AI43">
        <v>1040</v>
      </c>
      <c r="AJ43">
        <v>12</v>
      </c>
      <c r="AK43">
        <v>43</v>
      </c>
    </row>
    <row r="44" spans="1:37" x14ac:dyDescent="0.25">
      <c r="A44" s="1" t="s">
        <v>9</v>
      </c>
      <c r="B44">
        <v>3486</v>
      </c>
      <c r="C44">
        <v>3454</v>
      </c>
      <c r="D44">
        <v>4998</v>
      </c>
      <c r="E44">
        <v>5374</v>
      </c>
      <c r="F44">
        <v>770</v>
      </c>
      <c r="G44">
        <v>912</v>
      </c>
      <c r="U44" s="1" t="s">
        <v>9</v>
      </c>
      <c r="V44">
        <v>0</v>
      </c>
      <c r="W44">
        <v>0</v>
      </c>
      <c r="X44">
        <v>0</v>
      </c>
      <c r="Y44">
        <v>0</v>
      </c>
      <c r="Z44">
        <v>2.64E-2</v>
      </c>
      <c r="AA44">
        <v>2.9899999999999999E-2</v>
      </c>
      <c r="AE44" s="1" t="s">
        <v>13</v>
      </c>
      <c r="AF44">
        <v>116</v>
      </c>
      <c r="AG44">
        <v>421</v>
      </c>
      <c r="AH44">
        <v>1982</v>
      </c>
      <c r="AI44">
        <v>1102</v>
      </c>
      <c r="AJ44">
        <v>22</v>
      </c>
      <c r="AK44">
        <v>55</v>
      </c>
    </row>
    <row r="45" spans="1:37" x14ac:dyDescent="0.25">
      <c r="A45" s="1" t="s">
        <v>10</v>
      </c>
      <c r="B45">
        <v>3544</v>
      </c>
      <c r="C45">
        <v>3015</v>
      </c>
      <c r="D45">
        <v>5038</v>
      </c>
      <c r="E45">
        <v>4987</v>
      </c>
      <c r="F45">
        <v>781</v>
      </c>
      <c r="G45">
        <v>1007</v>
      </c>
      <c r="U45" s="1" t="s">
        <v>10</v>
      </c>
      <c r="V45">
        <v>0</v>
      </c>
      <c r="W45">
        <v>0</v>
      </c>
      <c r="X45">
        <v>0</v>
      </c>
      <c r="Y45">
        <v>0</v>
      </c>
      <c r="Z45">
        <v>2.3900000000000001E-2</v>
      </c>
      <c r="AA45">
        <v>3.9800000000000002E-2</v>
      </c>
    </row>
    <row r="46" spans="1:37" x14ac:dyDescent="0.25">
      <c r="A46" s="1" t="s">
        <v>11</v>
      </c>
      <c r="B46">
        <v>3115</v>
      </c>
      <c r="C46">
        <v>3071</v>
      </c>
      <c r="D46">
        <v>5482</v>
      </c>
      <c r="E46">
        <v>4845</v>
      </c>
      <c r="F46">
        <v>746</v>
      </c>
      <c r="G46">
        <v>954</v>
      </c>
      <c r="U46" s="1" t="s">
        <v>11</v>
      </c>
      <c r="V46">
        <v>0</v>
      </c>
      <c r="W46">
        <v>0</v>
      </c>
      <c r="X46">
        <v>0</v>
      </c>
      <c r="Y46">
        <v>0</v>
      </c>
      <c r="Z46">
        <v>2.0500000000000001E-2</v>
      </c>
      <c r="AA46">
        <v>2.9499999999999998E-2</v>
      </c>
    </row>
    <row r="47" spans="1:37" x14ac:dyDescent="0.25">
      <c r="A47" s="1" t="s">
        <v>12</v>
      </c>
      <c r="B47">
        <v>3699</v>
      </c>
      <c r="C47">
        <v>3195</v>
      </c>
      <c r="D47">
        <v>4958</v>
      </c>
      <c r="E47">
        <v>4133</v>
      </c>
      <c r="F47">
        <v>736</v>
      </c>
      <c r="G47">
        <v>898</v>
      </c>
      <c r="U47" s="1" t="s">
        <v>12</v>
      </c>
      <c r="V47">
        <v>0</v>
      </c>
      <c r="W47">
        <v>0</v>
      </c>
      <c r="X47">
        <v>0</v>
      </c>
      <c r="Y47">
        <v>0</v>
      </c>
      <c r="Z47">
        <v>2.1160000000000002E-2</v>
      </c>
      <c r="AA47">
        <v>4.4299999999999999E-2</v>
      </c>
    </row>
    <row r="48" spans="1:37" x14ac:dyDescent="0.25">
      <c r="A48" s="1" t="s">
        <v>13</v>
      </c>
      <c r="B48">
        <v>3560</v>
      </c>
      <c r="C48">
        <v>3923</v>
      </c>
      <c r="D48">
        <v>5177</v>
      </c>
      <c r="E48">
        <v>4843</v>
      </c>
      <c r="F48">
        <v>684</v>
      </c>
      <c r="G48">
        <v>1043</v>
      </c>
      <c r="L48" s="11" t="s">
        <v>22</v>
      </c>
      <c r="M48" s="11"/>
      <c r="N48" s="11"/>
      <c r="O48" s="11"/>
      <c r="P48" s="11"/>
      <c r="Q48" s="11"/>
      <c r="R48" s="11"/>
      <c r="U48" s="1" t="s">
        <v>13</v>
      </c>
      <c r="V48">
        <v>0</v>
      </c>
      <c r="W48">
        <v>0</v>
      </c>
      <c r="X48">
        <v>0</v>
      </c>
      <c r="Y48">
        <v>0</v>
      </c>
      <c r="Z48">
        <v>2.5399999999999999E-2</v>
      </c>
      <c r="AA48">
        <v>4.3999999999999997E-2</v>
      </c>
    </row>
    <row r="49" spans="1:37" ht="15" customHeight="1" x14ac:dyDescent="0.25">
      <c r="L49" s="13" t="s">
        <v>15</v>
      </c>
      <c r="M49" s="14"/>
      <c r="N49" s="14"/>
      <c r="O49" s="14"/>
      <c r="P49" s="14"/>
      <c r="Q49" s="14"/>
      <c r="R49" s="15"/>
      <c r="AE49" s="11" t="s">
        <v>22</v>
      </c>
      <c r="AF49" s="11"/>
      <c r="AG49" s="11"/>
      <c r="AH49" s="11"/>
      <c r="AI49" s="11"/>
      <c r="AJ49" s="11"/>
      <c r="AK49" s="11"/>
    </row>
    <row r="50" spans="1:37" ht="90" x14ac:dyDescent="0.25">
      <c r="L50" s="7"/>
      <c r="M50" s="1" t="s">
        <v>5</v>
      </c>
      <c r="N50" s="6" t="s">
        <v>6</v>
      </c>
      <c r="O50" s="1" t="s">
        <v>7</v>
      </c>
      <c r="P50" s="6" t="s">
        <v>8</v>
      </c>
      <c r="Q50" s="1" t="s">
        <v>1</v>
      </c>
      <c r="R50" s="1" t="s">
        <v>0</v>
      </c>
      <c r="U50" s="16" t="s">
        <v>17</v>
      </c>
      <c r="V50" s="16"/>
      <c r="W50" s="16"/>
      <c r="AE50" s="13" t="s">
        <v>2</v>
      </c>
      <c r="AF50" s="14"/>
      <c r="AG50" s="14"/>
      <c r="AH50" s="14"/>
      <c r="AI50" s="14"/>
      <c r="AJ50" s="14"/>
      <c r="AK50" s="15"/>
    </row>
    <row r="51" spans="1:37" ht="105" x14ac:dyDescent="0.25">
      <c r="L51" s="1" t="s">
        <v>9</v>
      </c>
      <c r="M51">
        <v>34.598999999999997</v>
      </c>
      <c r="N51">
        <v>26.733000000000001</v>
      </c>
      <c r="O51">
        <v>13.032</v>
      </c>
      <c r="P51">
        <v>8.7739999999999991</v>
      </c>
      <c r="Q51">
        <v>1.278</v>
      </c>
      <c r="R51">
        <v>2.1080000000000001</v>
      </c>
      <c r="V51" s="1" t="s">
        <v>0</v>
      </c>
      <c r="W51" s="1" t="s">
        <v>1</v>
      </c>
      <c r="AE51" s="7"/>
      <c r="AF51" s="1" t="s">
        <v>5</v>
      </c>
      <c r="AG51" s="6" t="s">
        <v>6</v>
      </c>
      <c r="AH51" s="1" t="s">
        <v>7</v>
      </c>
      <c r="AI51" s="6" t="s">
        <v>8</v>
      </c>
      <c r="AJ51" s="1" t="s">
        <v>1</v>
      </c>
      <c r="AK51" s="1" t="s">
        <v>0</v>
      </c>
    </row>
    <row r="52" spans="1:37" x14ac:dyDescent="0.25">
      <c r="L52" s="1" t="s">
        <v>10</v>
      </c>
      <c r="M52">
        <v>34.578000000000003</v>
      </c>
      <c r="N52">
        <v>27.57</v>
      </c>
      <c r="O52">
        <v>13.204000000000001</v>
      </c>
      <c r="P52">
        <v>9.5030000000000001</v>
      </c>
      <c r="Q52">
        <v>1.6910000000000001</v>
      </c>
      <c r="R52">
        <v>1.643</v>
      </c>
      <c r="U52" s="1" t="s">
        <v>9</v>
      </c>
      <c r="V52" s="4">
        <v>2.9960000000000001E-2</v>
      </c>
      <c r="W52" s="4">
        <v>1.06E-2</v>
      </c>
      <c r="AE52" s="1" t="s">
        <v>9</v>
      </c>
      <c r="AF52">
        <v>140</v>
      </c>
      <c r="AG52">
        <v>244</v>
      </c>
      <c r="AH52">
        <v>2594</v>
      </c>
      <c r="AI52">
        <v>874</v>
      </c>
      <c r="AJ52">
        <v>25</v>
      </c>
      <c r="AK52">
        <v>50</v>
      </c>
    </row>
    <row r="53" spans="1:37" x14ac:dyDescent="0.25">
      <c r="C53" t="s">
        <v>3</v>
      </c>
      <c r="L53" s="1" t="s">
        <v>11</v>
      </c>
      <c r="M53">
        <v>44.133000000000003</v>
      </c>
      <c r="N53">
        <v>29.175000000000001</v>
      </c>
      <c r="O53">
        <v>12.369</v>
      </c>
      <c r="P53">
        <v>9.891</v>
      </c>
      <c r="Q53">
        <v>1.702</v>
      </c>
      <c r="R53">
        <v>1.71</v>
      </c>
      <c r="U53" s="1" t="s">
        <v>10</v>
      </c>
      <c r="V53" s="4">
        <v>2.647E-2</v>
      </c>
      <c r="W53" s="4">
        <v>3.9879999999999999E-2</v>
      </c>
      <c r="AE53" s="1" t="s">
        <v>10</v>
      </c>
      <c r="AF53">
        <v>206</v>
      </c>
      <c r="AG53">
        <v>81</v>
      </c>
      <c r="AH53">
        <v>2519</v>
      </c>
      <c r="AI53">
        <v>838</v>
      </c>
      <c r="AJ53">
        <v>24</v>
      </c>
      <c r="AK53">
        <v>36</v>
      </c>
    </row>
    <row r="54" spans="1:37" x14ac:dyDescent="0.25">
      <c r="A54" s="11" t="s">
        <v>22</v>
      </c>
      <c r="B54" s="11"/>
      <c r="C54" s="11"/>
      <c r="D54" s="11"/>
      <c r="E54" s="11"/>
      <c r="F54" s="11"/>
      <c r="G54" s="11"/>
      <c r="L54" s="1" t="s">
        <v>12</v>
      </c>
      <c r="M54">
        <v>44.283999999999999</v>
      </c>
      <c r="N54">
        <v>24.873000000000001</v>
      </c>
      <c r="O54">
        <v>11.976000000000001</v>
      </c>
      <c r="P54">
        <v>9.4130000000000003</v>
      </c>
      <c r="Q54">
        <v>1.778</v>
      </c>
      <c r="R54">
        <v>1.5740000000000001</v>
      </c>
      <c r="U54" s="1" t="s">
        <v>11</v>
      </c>
      <c r="V54" s="4">
        <v>2.9579999999999999E-2</v>
      </c>
      <c r="W54" s="4">
        <v>2.06E-2</v>
      </c>
      <c r="AE54" s="1" t="s">
        <v>11</v>
      </c>
      <c r="AF54">
        <v>173</v>
      </c>
      <c r="AG54">
        <v>332</v>
      </c>
      <c r="AH54">
        <v>2882</v>
      </c>
      <c r="AI54">
        <v>982</v>
      </c>
      <c r="AJ54">
        <v>16</v>
      </c>
      <c r="AK54">
        <v>36</v>
      </c>
    </row>
    <row r="55" spans="1:37" x14ac:dyDescent="0.25">
      <c r="A55" s="10" t="s">
        <v>4</v>
      </c>
      <c r="B55" s="10"/>
      <c r="C55" s="10"/>
      <c r="D55" s="10"/>
      <c r="E55" s="10"/>
      <c r="F55" s="10"/>
      <c r="G55" s="10"/>
      <c r="L55" s="1" t="s">
        <v>13</v>
      </c>
      <c r="M55">
        <v>35.954999999999998</v>
      </c>
      <c r="N55">
        <v>25.353999999999999</v>
      </c>
      <c r="O55">
        <v>12.542</v>
      </c>
      <c r="P55">
        <v>8.8070000000000004</v>
      </c>
      <c r="Q55">
        <v>1.776</v>
      </c>
      <c r="R55">
        <v>1.5980000000000001</v>
      </c>
      <c r="U55" s="1" t="s">
        <v>12</v>
      </c>
      <c r="V55" s="4">
        <v>4.4380000000000003E-2</v>
      </c>
      <c r="W55" s="4">
        <v>2.12E-2</v>
      </c>
      <c r="AE55" s="1" t="s">
        <v>12</v>
      </c>
      <c r="AF55">
        <v>132</v>
      </c>
      <c r="AG55">
        <v>264</v>
      </c>
      <c r="AH55">
        <v>2503</v>
      </c>
      <c r="AI55">
        <v>827</v>
      </c>
      <c r="AJ55">
        <v>34</v>
      </c>
      <c r="AK55">
        <v>44</v>
      </c>
    </row>
    <row r="56" spans="1:37" ht="45" x14ac:dyDescent="0.25">
      <c r="A56" s="5"/>
      <c r="B56" s="1" t="s">
        <v>5</v>
      </c>
      <c r="C56" s="6" t="s">
        <v>6</v>
      </c>
      <c r="D56" s="1" t="s">
        <v>7</v>
      </c>
      <c r="E56" s="6" t="s">
        <v>8</v>
      </c>
      <c r="F56" s="1" t="s">
        <v>1</v>
      </c>
      <c r="G56" s="1" t="s">
        <v>0</v>
      </c>
      <c r="U56" s="1" t="s">
        <v>13</v>
      </c>
      <c r="V56" s="4">
        <v>4.4380000000000003E-2</v>
      </c>
      <c r="W56" s="4">
        <v>2.5499999999999998E-2</v>
      </c>
      <c r="AE56" s="1" t="s">
        <v>13</v>
      </c>
      <c r="AF56">
        <v>193</v>
      </c>
      <c r="AG56">
        <v>344</v>
      </c>
      <c r="AH56">
        <v>2559</v>
      </c>
      <c r="AI56">
        <v>783</v>
      </c>
      <c r="AJ56">
        <v>27</v>
      </c>
      <c r="AK56">
        <v>25</v>
      </c>
    </row>
    <row r="57" spans="1:37" x14ac:dyDescent="0.25">
      <c r="A57" s="1" t="s">
        <v>9</v>
      </c>
      <c r="B57">
        <v>3316</v>
      </c>
      <c r="C57">
        <v>3238</v>
      </c>
      <c r="D57">
        <v>7315</v>
      </c>
      <c r="E57">
        <v>4238</v>
      </c>
      <c r="F57">
        <v>746</v>
      </c>
      <c r="G57">
        <v>922</v>
      </c>
    </row>
    <row r="58" spans="1:37" x14ac:dyDescent="0.25">
      <c r="A58" s="1" t="s">
        <v>10</v>
      </c>
      <c r="B58">
        <v>3704</v>
      </c>
      <c r="C58">
        <v>2795</v>
      </c>
      <c r="D58">
        <v>7571</v>
      </c>
      <c r="E58">
        <v>4535</v>
      </c>
      <c r="F58">
        <v>716</v>
      </c>
      <c r="G58">
        <v>955</v>
      </c>
    </row>
    <row r="59" spans="1:37" x14ac:dyDescent="0.25">
      <c r="A59" s="1" t="s">
        <v>11</v>
      </c>
      <c r="B59">
        <v>2657</v>
      </c>
      <c r="C59">
        <v>3073</v>
      </c>
      <c r="D59">
        <v>8138</v>
      </c>
      <c r="E59">
        <v>4489</v>
      </c>
      <c r="F59">
        <v>687</v>
      </c>
      <c r="G59">
        <v>944</v>
      </c>
    </row>
    <row r="60" spans="1:37" x14ac:dyDescent="0.25">
      <c r="A60" s="1" t="s">
        <v>12</v>
      </c>
      <c r="B60">
        <v>2769</v>
      </c>
      <c r="C60">
        <v>3058</v>
      </c>
      <c r="D60">
        <v>7429</v>
      </c>
      <c r="E60">
        <v>4574</v>
      </c>
      <c r="F60">
        <v>787</v>
      </c>
      <c r="G60">
        <v>953</v>
      </c>
      <c r="L60" s="12" t="s">
        <v>23</v>
      </c>
      <c r="M60" s="12"/>
      <c r="N60" s="12"/>
      <c r="O60" s="12"/>
      <c r="P60" s="12"/>
      <c r="Q60" s="12"/>
      <c r="R60" s="12"/>
      <c r="U60" s="11" t="s">
        <v>14</v>
      </c>
      <c r="V60" s="11"/>
      <c r="W60" s="11"/>
      <c r="X60" s="11"/>
      <c r="Y60" s="11"/>
      <c r="Z60" s="11"/>
      <c r="AA60" s="11"/>
      <c r="AE60" s="12" t="s">
        <v>23</v>
      </c>
      <c r="AF60" s="12"/>
      <c r="AG60" s="12"/>
      <c r="AH60" s="12"/>
      <c r="AI60" s="12"/>
      <c r="AJ60" s="12"/>
      <c r="AK60" s="12"/>
    </row>
    <row r="61" spans="1:37" x14ac:dyDescent="0.25">
      <c r="A61" s="1" t="s">
        <v>13</v>
      </c>
      <c r="B61">
        <v>2772</v>
      </c>
      <c r="C61">
        <v>2871</v>
      </c>
      <c r="D61">
        <v>7489</v>
      </c>
      <c r="E61">
        <v>4531</v>
      </c>
      <c r="F61">
        <v>782</v>
      </c>
      <c r="G61">
        <v>926</v>
      </c>
      <c r="L61" s="10" t="s">
        <v>24</v>
      </c>
      <c r="M61" s="10"/>
      <c r="N61" s="10"/>
      <c r="O61" s="10"/>
      <c r="P61" s="10"/>
      <c r="Q61" s="10"/>
      <c r="R61" s="10"/>
      <c r="U61" s="10" t="s">
        <v>16</v>
      </c>
      <c r="V61" s="10"/>
      <c r="W61" s="10"/>
      <c r="X61" s="10"/>
      <c r="Y61" s="10"/>
      <c r="Z61" s="10"/>
      <c r="AA61" s="10"/>
      <c r="AE61" s="13" t="s">
        <v>2</v>
      </c>
      <c r="AF61" s="14"/>
      <c r="AG61" s="14"/>
      <c r="AH61" s="14"/>
      <c r="AI61" s="14"/>
      <c r="AJ61" s="14"/>
      <c r="AK61" s="15"/>
    </row>
    <row r="62" spans="1:37" ht="105" x14ac:dyDescent="0.25">
      <c r="L62" s="9"/>
      <c r="M62" s="1" t="s">
        <v>5</v>
      </c>
      <c r="N62" s="6" t="s">
        <v>6</v>
      </c>
      <c r="O62" s="1" t="s">
        <v>7</v>
      </c>
      <c r="P62" s="6" t="s">
        <v>8</v>
      </c>
      <c r="Q62" s="1" t="s">
        <v>1</v>
      </c>
      <c r="R62" s="1" t="s">
        <v>0</v>
      </c>
      <c r="U62" s="5"/>
      <c r="V62" s="1" t="s">
        <v>5</v>
      </c>
      <c r="W62" s="6" t="s">
        <v>6</v>
      </c>
      <c r="X62" s="6" t="s">
        <v>7</v>
      </c>
      <c r="Y62" s="6" t="s">
        <v>8</v>
      </c>
      <c r="Z62" s="1" t="s">
        <v>1</v>
      </c>
      <c r="AA62" s="1" t="s">
        <v>0</v>
      </c>
      <c r="AE62" s="9"/>
      <c r="AF62" s="1" t="s">
        <v>5</v>
      </c>
      <c r="AG62" s="6" t="s">
        <v>6</v>
      </c>
      <c r="AH62" s="1" t="s">
        <v>7</v>
      </c>
      <c r="AI62" s="6" t="s">
        <v>8</v>
      </c>
      <c r="AJ62" s="1" t="s">
        <v>1</v>
      </c>
      <c r="AK62" s="1" t="s">
        <v>0</v>
      </c>
    </row>
    <row r="63" spans="1:37" x14ac:dyDescent="0.25">
      <c r="L63" s="2">
        <v>0.7</v>
      </c>
      <c r="M63">
        <f t="shared" ref="M63:R63" si="0">AVERAGE(M5:M9)</f>
        <v>29.731999999999999</v>
      </c>
      <c r="N63">
        <f t="shared" si="0"/>
        <v>27.472799999999999</v>
      </c>
      <c r="O63">
        <f t="shared" si="0"/>
        <v>3.2576000000000001</v>
      </c>
      <c r="P63">
        <f t="shared" si="0"/>
        <v>1.2372000000000001</v>
      </c>
      <c r="Q63">
        <f t="shared" si="0"/>
        <v>1.7651999999999997</v>
      </c>
      <c r="R63">
        <f t="shared" si="0"/>
        <v>1.5427999999999999</v>
      </c>
      <c r="U63" s="1" t="s">
        <v>9</v>
      </c>
      <c r="V63">
        <v>0</v>
      </c>
      <c r="W63">
        <v>0</v>
      </c>
      <c r="X63">
        <v>7.2999999999999995E-2</v>
      </c>
      <c r="Y63">
        <v>0</v>
      </c>
      <c r="Z63">
        <v>0.32750000000000001</v>
      </c>
      <c r="AA63">
        <v>0.315</v>
      </c>
      <c r="AE63" s="2">
        <v>0.7</v>
      </c>
      <c r="AF63">
        <f t="shared" ref="AF63:AK63" si="1">AVERAGE(AF5:AF9)</f>
        <v>246</v>
      </c>
      <c r="AG63">
        <f t="shared" si="1"/>
        <v>440</v>
      </c>
      <c r="AH63">
        <f t="shared" si="1"/>
        <v>1032.5999999999999</v>
      </c>
      <c r="AI63">
        <f t="shared" si="1"/>
        <v>1096</v>
      </c>
      <c r="AJ63">
        <f t="shared" si="1"/>
        <v>19.8</v>
      </c>
      <c r="AK63">
        <f t="shared" si="1"/>
        <v>38.799999999999997</v>
      </c>
    </row>
    <row r="64" spans="1:37" x14ac:dyDescent="0.25">
      <c r="L64" s="3">
        <v>0.3</v>
      </c>
      <c r="M64">
        <f t="shared" ref="M64:R64" si="2">AVERAGE(M17:M21)</f>
        <v>28.893000000000001</v>
      </c>
      <c r="N64">
        <f t="shared" si="2"/>
        <v>28.877400000000002</v>
      </c>
      <c r="O64">
        <f t="shared" si="2"/>
        <v>4.0167999999999999</v>
      </c>
      <c r="P64">
        <f t="shared" si="2"/>
        <v>1.2368000000000001</v>
      </c>
      <c r="Q64">
        <f t="shared" si="2"/>
        <v>1.6149999999999998</v>
      </c>
      <c r="R64">
        <f t="shared" si="2"/>
        <v>1.4246000000000001</v>
      </c>
      <c r="U64" s="1" t="s">
        <v>10</v>
      </c>
      <c r="V64">
        <v>0</v>
      </c>
      <c r="W64">
        <v>0</v>
      </c>
      <c r="X64">
        <v>6.9800000000000001E-2</v>
      </c>
      <c r="Y64">
        <v>0</v>
      </c>
      <c r="Z64">
        <v>0.32400000000000001</v>
      </c>
      <c r="AA64">
        <v>0.312</v>
      </c>
      <c r="AE64" s="3">
        <v>0.3</v>
      </c>
      <c r="AF64">
        <f t="shared" ref="AF64:AK64" si="3">AVERAGE(AF17:AF21)</f>
        <v>458.4</v>
      </c>
      <c r="AG64">
        <f t="shared" si="3"/>
        <v>405.8</v>
      </c>
      <c r="AH64">
        <f t="shared" si="3"/>
        <v>1332.6</v>
      </c>
      <c r="AI64">
        <f t="shared" si="3"/>
        <v>1047.2</v>
      </c>
      <c r="AJ64">
        <f t="shared" si="3"/>
        <v>13.8</v>
      </c>
      <c r="AK64">
        <f t="shared" si="3"/>
        <v>54</v>
      </c>
    </row>
    <row r="65" spans="1:37" x14ac:dyDescent="0.25">
      <c r="A65" s="12" t="s">
        <v>23</v>
      </c>
      <c r="B65" s="12"/>
      <c r="C65" s="12"/>
      <c r="D65" s="12"/>
      <c r="E65" s="12"/>
      <c r="F65" s="12"/>
      <c r="G65" s="12"/>
      <c r="L65" s="3">
        <v>0</v>
      </c>
      <c r="M65">
        <f t="shared" ref="M65:R65" si="4">AVERAGE(M26:M30)</f>
        <v>34.006666666666668</v>
      </c>
      <c r="N65">
        <f t="shared" si="4"/>
        <v>33.774000000000001</v>
      </c>
      <c r="O65">
        <f t="shared" si="4"/>
        <v>3.6713333333333331</v>
      </c>
      <c r="P65">
        <f t="shared" si="4"/>
        <v>1.3206666666666667</v>
      </c>
      <c r="Q65">
        <f t="shared" si="4"/>
        <v>1.8596666666666666</v>
      </c>
      <c r="R65">
        <f t="shared" si="4"/>
        <v>1.4766666666666666</v>
      </c>
      <c r="U65" s="1" t="s">
        <v>11</v>
      </c>
      <c r="V65">
        <v>0</v>
      </c>
      <c r="W65">
        <v>0</v>
      </c>
      <c r="X65">
        <v>6.7599999999999993E-2</v>
      </c>
      <c r="Y65">
        <v>0</v>
      </c>
      <c r="Z65">
        <v>0.34549999999999997</v>
      </c>
      <c r="AA65">
        <v>0.312</v>
      </c>
      <c r="AE65" s="3">
        <v>0</v>
      </c>
      <c r="AF65">
        <f t="shared" ref="AF65:AK65" si="5">AVERAGE(AF28:AF32)</f>
        <v>442.4</v>
      </c>
      <c r="AG65">
        <f t="shared" si="5"/>
        <v>349.6</v>
      </c>
      <c r="AH65">
        <f t="shared" si="5"/>
        <v>2884.4</v>
      </c>
      <c r="AI65">
        <f t="shared" si="5"/>
        <v>1128.5999999999999</v>
      </c>
      <c r="AJ65">
        <f t="shared" si="5"/>
        <v>11.8</v>
      </c>
      <c r="AK65">
        <f t="shared" si="5"/>
        <v>50.8</v>
      </c>
    </row>
    <row r="66" spans="1:37" x14ac:dyDescent="0.25">
      <c r="A66" s="10" t="s">
        <v>4</v>
      </c>
      <c r="B66" s="10"/>
      <c r="C66" s="10"/>
      <c r="D66" s="10"/>
      <c r="E66" s="10"/>
      <c r="F66" s="10"/>
      <c r="G66" s="10"/>
      <c r="L66" s="3">
        <v>-0.3</v>
      </c>
      <c r="M66">
        <f>AVERAGE(M39:M43)</f>
        <v>27.123799999999999</v>
      </c>
      <c r="N66">
        <f t="shared" ref="M66:R66" si="6">AVERAGE(N39:N43)</f>
        <v>26.436799999999998</v>
      </c>
      <c r="O66">
        <f t="shared" si="6"/>
        <v>12.863200000000001</v>
      </c>
      <c r="P66">
        <f t="shared" si="6"/>
        <v>10.163</v>
      </c>
      <c r="Q66">
        <f t="shared" si="6"/>
        <v>1.5486</v>
      </c>
      <c r="R66">
        <f t="shared" si="6"/>
        <v>1.5143999999999997</v>
      </c>
      <c r="U66" s="1" t="s">
        <v>12</v>
      </c>
      <c r="V66">
        <v>0</v>
      </c>
      <c r="W66">
        <v>0</v>
      </c>
      <c r="X66">
        <v>7.8399999999999997E-2</v>
      </c>
      <c r="Y66">
        <v>0</v>
      </c>
      <c r="Z66">
        <v>0.33200000000000002</v>
      </c>
      <c r="AA66">
        <v>0.312</v>
      </c>
      <c r="AE66" s="3">
        <v>-0.3</v>
      </c>
      <c r="AF66">
        <f t="shared" ref="AF66:AK66" si="7">AVERAGE(AF40:AF44)</f>
        <v>313.39999999999998</v>
      </c>
      <c r="AG66">
        <f t="shared" si="7"/>
        <v>426.8</v>
      </c>
      <c r="AH66">
        <f t="shared" si="7"/>
        <v>1872.4</v>
      </c>
      <c r="AI66">
        <f t="shared" si="7"/>
        <v>1085</v>
      </c>
      <c r="AJ66">
        <f t="shared" si="7"/>
        <v>18.8</v>
      </c>
      <c r="AK66">
        <f t="shared" si="7"/>
        <v>55.6</v>
      </c>
    </row>
    <row r="67" spans="1:37" ht="45" x14ac:dyDescent="0.25">
      <c r="A67" s="9"/>
      <c r="B67" s="1" t="s">
        <v>5</v>
      </c>
      <c r="C67" s="6" t="s">
        <v>6</v>
      </c>
      <c r="D67" s="1" t="s">
        <v>7</v>
      </c>
      <c r="E67" s="6" t="s">
        <v>8</v>
      </c>
      <c r="F67" s="1" t="s">
        <v>1</v>
      </c>
      <c r="G67" s="1" t="s">
        <v>0</v>
      </c>
      <c r="L67" s="3">
        <v>-0.7</v>
      </c>
      <c r="M67">
        <f>AVERAGE(M51:M55)</f>
        <v>38.709799999999994</v>
      </c>
      <c r="N67">
        <f t="shared" ref="M67:R67" si="8">AVERAGE(N51:N55)</f>
        <v>26.740999999999996</v>
      </c>
      <c r="O67">
        <f t="shared" si="8"/>
        <v>12.624600000000001</v>
      </c>
      <c r="P67">
        <f t="shared" si="8"/>
        <v>9.2776000000000014</v>
      </c>
      <c r="Q67">
        <f t="shared" si="8"/>
        <v>1.645</v>
      </c>
      <c r="R67">
        <f t="shared" si="8"/>
        <v>1.7266000000000001</v>
      </c>
      <c r="U67" s="1" t="s">
        <v>13</v>
      </c>
      <c r="V67">
        <v>0</v>
      </c>
      <c r="W67">
        <v>0</v>
      </c>
      <c r="X67">
        <v>6.9199999999999998E-2</v>
      </c>
      <c r="Y67">
        <v>0</v>
      </c>
      <c r="Z67">
        <v>0.33200000000000002</v>
      </c>
      <c r="AA67">
        <v>0.312</v>
      </c>
      <c r="AE67" s="3">
        <v>-0.7</v>
      </c>
      <c r="AF67">
        <f t="shared" ref="AF67:AK67" si="9">AVERAGE(AF52:AF56)</f>
        <v>168.8</v>
      </c>
      <c r="AG67">
        <f t="shared" si="9"/>
        <v>253</v>
      </c>
      <c r="AH67">
        <f t="shared" si="9"/>
        <v>2611.4</v>
      </c>
      <c r="AI67">
        <f t="shared" si="9"/>
        <v>860.8</v>
      </c>
      <c r="AJ67">
        <f t="shared" si="9"/>
        <v>25.2</v>
      </c>
      <c r="AK67">
        <f t="shared" si="9"/>
        <v>38.200000000000003</v>
      </c>
    </row>
    <row r="68" spans="1:37" ht="15" customHeight="1" x14ac:dyDescent="0.25">
      <c r="A68" s="2">
        <v>0.7</v>
      </c>
      <c r="B68">
        <f t="shared" ref="B68:G68" si="10">AVERAGE(B5:B9)</f>
        <v>3338</v>
      </c>
      <c r="C68">
        <f t="shared" si="10"/>
        <v>3596.2</v>
      </c>
      <c r="D68">
        <f t="shared" si="10"/>
        <v>4874.2</v>
      </c>
      <c r="E68">
        <f t="shared" si="10"/>
        <v>4917.2</v>
      </c>
      <c r="F68">
        <f t="shared" si="10"/>
        <v>753</v>
      </c>
      <c r="G68">
        <f t="shared" si="10"/>
        <v>917.2</v>
      </c>
    </row>
    <row r="69" spans="1:37" x14ac:dyDescent="0.25">
      <c r="A69" s="3">
        <v>0.3</v>
      </c>
      <c r="B69">
        <f t="shared" ref="B69:G69" si="11">AVERAGE(B18:B22)</f>
        <v>3488.4</v>
      </c>
      <c r="C69">
        <f t="shared" si="11"/>
        <v>3506</v>
      </c>
      <c r="D69">
        <f t="shared" si="11"/>
        <v>5333</v>
      </c>
      <c r="E69">
        <f t="shared" si="11"/>
        <v>4537.8</v>
      </c>
      <c r="F69">
        <f t="shared" si="11"/>
        <v>745</v>
      </c>
      <c r="G69">
        <f t="shared" si="11"/>
        <v>1037</v>
      </c>
      <c r="U69" s="16" t="s">
        <v>17</v>
      </c>
      <c r="V69" s="16"/>
      <c r="W69" s="16"/>
    </row>
    <row r="70" spans="1:37" ht="75" x14ac:dyDescent="0.25">
      <c r="A70" s="3">
        <v>0</v>
      </c>
      <c r="B70">
        <f t="shared" ref="B70:G70" si="12">AVERAGE(B31:B35)</f>
        <v>3292.4</v>
      </c>
      <c r="C70">
        <f t="shared" si="12"/>
        <v>3047.4</v>
      </c>
      <c r="D70">
        <f t="shared" si="12"/>
        <v>7091.8</v>
      </c>
      <c r="E70">
        <f t="shared" si="12"/>
        <v>4673.3999999999996</v>
      </c>
      <c r="F70">
        <f t="shared" si="12"/>
        <v>756</v>
      </c>
      <c r="G70">
        <f t="shared" si="12"/>
        <v>933.8</v>
      </c>
      <c r="V70" s="1" t="s">
        <v>0</v>
      </c>
      <c r="W70" s="1" t="s">
        <v>1</v>
      </c>
      <c r="X70" s="6" t="s">
        <v>7</v>
      </c>
    </row>
    <row r="71" spans="1:37" x14ac:dyDescent="0.25">
      <c r="A71" s="3">
        <v>-0.3</v>
      </c>
      <c r="B71">
        <f t="shared" ref="B71:G71" si="13">AVERAGE(B44:B48)</f>
        <v>3480.8</v>
      </c>
      <c r="C71">
        <f t="shared" si="13"/>
        <v>3331.6</v>
      </c>
      <c r="D71">
        <f t="shared" si="13"/>
        <v>5130.6000000000004</v>
      </c>
      <c r="E71">
        <f t="shared" si="13"/>
        <v>4836.3999999999996</v>
      </c>
      <c r="F71">
        <f t="shared" si="13"/>
        <v>743.4</v>
      </c>
      <c r="G71">
        <f t="shared" si="13"/>
        <v>962.8</v>
      </c>
      <c r="U71" s="1" t="s">
        <v>9</v>
      </c>
      <c r="V71" s="4">
        <v>0.37013000000000001</v>
      </c>
      <c r="W71" s="4">
        <v>0.37828000000000001</v>
      </c>
      <c r="X71" s="8">
        <v>8.7964000000000001E-2</v>
      </c>
    </row>
    <row r="72" spans="1:37" x14ac:dyDescent="0.25">
      <c r="A72" s="3">
        <v>-0.7</v>
      </c>
      <c r="B72">
        <f t="shared" ref="B72:G72" si="14">AVERAGE(B57:B61)</f>
        <v>3043.6</v>
      </c>
      <c r="C72">
        <f t="shared" si="14"/>
        <v>3007</v>
      </c>
      <c r="D72">
        <f t="shared" si="14"/>
        <v>7588.4</v>
      </c>
      <c r="E72">
        <f t="shared" si="14"/>
        <v>4473.3999999999996</v>
      </c>
      <c r="F72">
        <f t="shared" si="14"/>
        <v>743.6</v>
      </c>
      <c r="G72">
        <f t="shared" si="14"/>
        <v>940</v>
      </c>
      <c r="U72" s="1" t="s">
        <v>10</v>
      </c>
      <c r="V72" s="4">
        <v>0.35787000000000002</v>
      </c>
      <c r="W72" s="4">
        <v>0.37422</v>
      </c>
      <c r="X72" s="8">
        <v>8.4309999999999996E-2</v>
      </c>
    </row>
    <row r="73" spans="1:37" x14ac:dyDescent="0.25">
      <c r="U73" s="1" t="s">
        <v>11</v>
      </c>
      <c r="V73" s="4">
        <v>0.36487999999999998</v>
      </c>
      <c r="W73" s="4">
        <v>0.40194999999999997</v>
      </c>
      <c r="X73" s="8">
        <v>8.2604999999999998E-2</v>
      </c>
    </row>
    <row r="74" spans="1:37" x14ac:dyDescent="0.25">
      <c r="U74" s="1" t="s">
        <v>12</v>
      </c>
      <c r="V74" s="4">
        <v>0.36543999999999999</v>
      </c>
      <c r="W74" s="4">
        <v>0.38544</v>
      </c>
      <c r="X74" s="8">
        <v>9.6600000000000005E-2</v>
      </c>
    </row>
    <row r="75" spans="1:37" x14ac:dyDescent="0.25">
      <c r="U75" s="1" t="s">
        <v>13</v>
      </c>
      <c r="V75" s="4">
        <v>0.35759999999999997</v>
      </c>
      <c r="W75" s="4">
        <v>0.3841</v>
      </c>
      <c r="X75" s="8">
        <v>8.3409999999999998E-2</v>
      </c>
    </row>
    <row r="79" spans="1:37" x14ac:dyDescent="0.25">
      <c r="U79" s="11" t="s">
        <v>22</v>
      </c>
      <c r="V79" s="11"/>
      <c r="W79" s="11"/>
      <c r="X79" s="11"/>
      <c r="Y79" s="11"/>
      <c r="Z79" s="11"/>
      <c r="AA79" s="11"/>
    </row>
    <row r="80" spans="1:37" x14ac:dyDescent="0.25">
      <c r="U80" s="10" t="s">
        <v>16</v>
      </c>
      <c r="V80" s="10"/>
      <c r="W80" s="10"/>
      <c r="X80" s="10"/>
      <c r="Y80" s="10"/>
      <c r="Z80" s="10"/>
      <c r="AA80" s="10"/>
    </row>
    <row r="81" spans="21:27" ht="105" x14ac:dyDescent="0.25">
      <c r="U81" s="5"/>
      <c r="V81" s="1" t="s">
        <v>5</v>
      </c>
      <c r="W81" s="6" t="s">
        <v>6</v>
      </c>
      <c r="X81" s="6" t="s">
        <v>7</v>
      </c>
      <c r="Y81" s="6" t="s">
        <v>8</v>
      </c>
      <c r="Z81" s="1" t="s">
        <v>1</v>
      </c>
      <c r="AA81" s="1" t="s">
        <v>0</v>
      </c>
    </row>
    <row r="82" spans="21:27" x14ac:dyDescent="0.25">
      <c r="U82" s="1" t="s">
        <v>9</v>
      </c>
      <c r="V82">
        <v>0</v>
      </c>
      <c r="W82">
        <v>0</v>
      </c>
      <c r="X82">
        <v>0.38200000000000001</v>
      </c>
      <c r="Y82">
        <v>0</v>
      </c>
      <c r="Z82">
        <v>0.90900000000000003</v>
      </c>
      <c r="AA82">
        <v>0.89600000000000002</v>
      </c>
    </row>
    <row r="83" spans="21:27" x14ac:dyDescent="0.25">
      <c r="U83" s="1" t="s">
        <v>10</v>
      </c>
      <c r="V83">
        <v>0</v>
      </c>
      <c r="W83">
        <v>0</v>
      </c>
      <c r="X83">
        <v>0.38300000000000001</v>
      </c>
      <c r="Y83">
        <v>0</v>
      </c>
      <c r="Z83">
        <v>0.90200000000000002</v>
      </c>
      <c r="AA83">
        <v>0.89600000000000002</v>
      </c>
    </row>
    <row r="84" spans="21:27" x14ac:dyDescent="0.25">
      <c r="U84" s="1" t="s">
        <v>11</v>
      </c>
      <c r="V84">
        <v>0</v>
      </c>
      <c r="W84">
        <v>0</v>
      </c>
      <c r="X84">
        <v>0.32500000000000001</v>
      </c>
      <c r="Y84">
        <v>0</v>
      </c>
      <c r="Z84">
        <v>0.90100000000000002</v>
      </c>
      <c r="AA84">
        <v>0.89600000000000002</v>
      </c>
    </row>
    <row r="85" spans="21:27" x14ac:dyDescent="0.25">
      <c r="U85" s="1" t="s">
        <v>12</v>
      </c>
      <c r="V85">
        <v>0</v>
      </c>
      <c r="W85">
        <v>0</v>
      </c>
      <c r="X85">
        <v>0.39450000000000002</v>
      </c>
      <c r="Y85">
        <v>0</v>
      </c>
      <c r="Z85">
        <v>0.89900000000000002</v>
      </c>
      <c r="AA85">
        <v>0.89600000000000002</v>
      </c>
    </row>
    <row r="86" spans="21:27" x14ac:dyDescent="0.25">
      <c r="U86" s="1" t="s">
        <v>13</v>
      </c>
      <c r="V86">
        <v>0</v>
      </c>
      <c r="W86">
        <v>0</v>
      </c>
      <c r="X86">
        <v>0.40200000000000002</v>
      </c>
      <c r="Y86">
        <v>0</v>
      </c>
      <c r="Z86">
        <v>0.92500000000000004</v>
      </c>
      <c r="AA86">
        <v>0.90200000000000002</v>
      </c>
    </row>
    <row r="88" spans="21:27" x14ac:dyDescent="0.25">
      <c r="U88" s="16" t="s">
        <v>17</v>
      </c>
      <c r="V88" s="16"/>
      <c r="W88" s="16"/>
    </row>
    <row r="89" spans="21:27" ht="75" x14ac:dyDescent="0.25">
      <c r="V89" s="1" t="s">
        <v>0</v>
      </c>
      <c r="W89" s="1" t="s">
        <v>1</v>
      </c>
      <c r="X89" s="6" t="s">
        <v>7</v>
      </c>
    </row>
    <row r="90" spans="21:27" x14ac:dyDescent="0.25">
      <c r="U90" s="1" t="s">
        <v>9</v>
      </c>
      <c r="V90" s="4">
        <v>3.7202600000000001</v>
      </c>
      <c r="W90" s="4">
        <v>3.8961000000000001</v>
      </c>
      <c r="X90" s="4">
        <v>2.3473000000000002</v>
      </c>
    </row>
    <row r="91" spans="21:27" x14ac:dyDescent="0.25">
      <c r="U91" s="1" t="s">
        <v>10</v>
      </c>
      <c r="V91" s="4">
        <v>3.70566</v>
      </c>
      <c r="W91" s="4">
        <v>3.841904</v>
      </c>
      <c r="X91" s="4">
        <v>2.3664999999999998</v>
      </c>
    </row>
    <row r="92" spans="21:27" x14ac:dyDescent="0.25">
      <c r="U92" s="1" t="s">
        <v>11</v>
      </c>
      <c r="V92" s="4">
        <v>3.7888700000000002</v>
      </c>
      <c r="W92" s="4">
        <v>3.8595079999999999</v>
      </c>
      <c r="X92" s="4">
        <v>1.9734</v>
      </c>
    </row>
    <row r="93" spans="21:27" x14ac:dyDescent="0.25">
      <c r="U93" s="1" t="s">
        <v>12</v>
      </c>
      <c r="V93" s="4">
        <v>3.81427</v>
      </c>
      <c r="W93" s="4">
        <v>4.0140700000000002</v>
      </c>
      <c r="X93" s="4">
        <v>2.4211999999999998</v>
      </c>
    </row>
    <row r="94" spans="21:27" x14ac:dyDescent="0.25">
      <c r="U94" s="1" t="s">
        <v>13</v>
      </c>
      <c r="V94" s="4">
        <v>3.7985899999999999</v>
      </c>
      <c r="W94" s="4">
        <v>3.8702030000000001</v>
      </c>
      <c r="X94" s="4">
        <v>2.4870000000000001</v>
      </c>
    </row>
    <row r="99" spans="21:27" x14ac:dyDescent="0.25">
      <c r="U99" s="12" t="s">
        <v>23</v>
      </c>
      <c r="V99" s="12"/>
      <c r="W99" s="12"/>
      <c r="X99" s="12"/>
      <c r="Y99" s="12"/>
      <c r="Z99" s="12"/>
      <c r="AA99" s="12"/>
    </row>
    <row r="100" spans="21:27" x14ac:dyDescent="0.25">
      <c r="U100" s="10" t="s">
        <v>16</v>
      </c>
      <c r="V100" s="10"/>
      <c r="W100" s="10"/>
      <c r="X100" s="10"/>
      <c r="Y100" s="10"/>
      <c r="Z100" s="10"/>
      <c r="AA100" s="10"/>
    </row>
    <row r="101" spans="21:27" x14ac:dyDescent="0.25">
      <c r="U101" s="9"/>
      <c r="V101" s="1" t="s">
        <v>7</v>
      </c>
      <c r="W101" s="1" t="s">
        <v>1</v>
      </c>
      <c r="X101" s="1" t="s">
        <v>0</v>
      </c>
    </row>
    <row r="102" spans="21:27" x14ac:dyDescent="0.25">
      <c r="U102" s="2">
        <v>0.7</v>
      </c>
      <c r="V102">
        <f>AVERAGE(X5:X9)</f>
        <v>0</v>
      </c>
      <c r="W102">
        <f>AVERAGE(Z5:Z9)</f>
        <v>0.49014600000000003</v>
      </c>
      <c r="X102">
        <f>AVERAGE(AA5:AA9)</f>
        <v>0.51439999999999997</v>
      </c>
    </row>
    <row r="103" spans="21:27" x14ac:dyDescent="0.25">
      <c r="U103" s="3">
        <v>0.3</v>
      </c>
      <c r="V103">
        <f>AVERAGE(X25:X29)</f>
        <v>0</v>
      </c>
      <c r="W103">
        <f>AVERAGE(Z25:Z29)</f>
        <v>0.25796000000000002</v>
      </c>
      <c r="X103">
        <f>AVERAGE(AA25:AA29)</f>
        <v>0.28450000000000003</v>
      </c>
    </row>
    <row r="104" spans="21:27" x14ac:dyDescent="0.25">
      <c r="U104" s="3">
        <v>0</v>
      </c>
      <c r="V104">
        <f>AVERAGE(X44:X48)</f>
        <v>0</v>
      </c>
      <c r="W104">
        <f>AVERAGE(Z44:Z48)</f>
        <v>2.3472E-2</v>
      </c>
      <c r="X104">
        <f>AVERAGE(AA44:AA48)</f>
        <v>3.7499999999999999E-2</v>
      </c>
    </row>
    <row r="105" spans="21:27" x14ac:dyDescent="0.25">
      <c r="U105" s="3">
        <v>-0.3</v>
      </c>
      <c r="V105">
        <f>AVERAGE(X63:X67)</f>
        <v>7.1599999999999983E-2</v>
      </c>
      <c r="W105">
        <f>AVERAGE(Z63:Z67)</f>
        <v>0.3322</v>
      </c>
      <c r="X105">
        <f>AVERAGE(AA63:AA67)</f>
        <v>0.31260000000000004</v>
      </c>
    </row>
    <row r="106" spans="21:27" x14ac:dyDescent="0.25">
      <c r="U106" s="3">
        <v>-0.7</v>
      </c>
      <c r="V106">
        <f>AVERAGE(X82:X86)</f>
        <v>0.37730000000000008</v>
      </c>
      <c r="W106">
        <f>AVERAGE(Z82:Z86)</f>
        <v>0.9071999999999999</v>
      </c>
      <c r="X106">
        <f>AVERAGE(AA82:AA86)</f>
        <v>0.8972</v>
      </c>
    </row>
    <row r="110" spans="21:27" x14ac:dyDescent="0.25">
      <c r="U110" s="19" t="s">
        <v>25</v>
      </c>
      <c r="V110" s="19"/>
      <c r="W110" s="19"/>
    </row>
    <row r="111" spans="21:27" ht="75" x14ac:dyDescent="0.25">
      <c r="V111" s="1" t="s">
        <v>0</v>
      </c>
      <c r="W111" s="1" t="s">
        <v>1</v>
      </c>
      <c r="X111" s="6" t="s">
        <v>7</v>
      </c>
    </row>
    <row r="112" spans="21:27" x14ac:dyDescent="0.25">
      <c r="U112" s="2">
        <v>0.7</v>
      </c>
      <c r="V112" s="4">
        <f>AVERAGE(V13:V17)</f>
        <v>0.72198799999999985</v>
      </c>
      <c r="W112" s="4">
        <f>AVERAGE(W13:W17)</f>
        <v>0.68982200000000005</v>
      </c>
      <c r="X112" s="8">
        <v>0</v>
      </c>
    </row>
    <row r="113" spans="21:24" x14ac:dyDescent="0.25">
      <c r="U113" s="3">
        <v>0.3</v>
      </c>
      <c r="V113" s="4">
        <f>AVERAGE(V33:V37)</f>
        <v>0.308392</v>
      </c>
      <c r="W113" s="4">
        <f>AVERAGE(W33:W37)</f>
        <v>0.27985599999999999</v>
      </c>
      <c r="X113" s="8">
        <v>0</v>
      </c>
    </row>
    <row r="114" spans="21:24" x14ac:dyDescent="0.25">
      <c r="U114" s="3">
        <v>0</v>
      </c>
      <c r="V114" s="4">
        <f>AVERAGE(V52:V56)</f>
        <v>3.4953999999999999E-2</v>
      </c>
      <c r="W114" s="4">
        <f>AVERAGE(W52:W56)</f>
        <v>2.3556000000000001E-2</v>
      </c>
      <c r="X114" s="8">
        <v>0</v>
      </c>
    </row>
    <row r="115" spans="21:24" x14ac:dyDescent="0.25">
      <c r="U115" s="3">
        <v>-0.3</v>
      </c>
      <c r="V115" s="4">
        <f>AVERAGE(V71:V75)</f>
        <v>0.36318400000000001</v>
      </c>
      <c r="W115" s="4">
        <f>AVERAGE(W71:W75)</f>
        <v>0.38479799999999997</v>
      </c>
      <c r="X115" s="8">
        <f>AVERAGE(X71:X75)</f>
        <v>8.6977799999999994E-2</v>
      </c>
    </row>
    <row r="116" spans="21:24" x14ac:dyDescent="0.25">
      <c r="U116" s="3">
        <v>-0.7</v>
      </c>
      <c r="V116" s="4">
        <f>AVERAGE(V90:V94)</f>
        <v>3.7655300000000005</v>
      </c>
      <c r="W116" s="4">
        <f>AVERAGE(W90:W94)</f>
        <v>3.8963570000000005</v>
      </c>
      <c r="X116" s="8">
        <f>AVERAGE(X90:X94)</f>
        <v>2.31908</v>
      </c>
    </row>
  </sheetData>
  <mergeCells count="58">
    <mergeCell ref="AE1:AK1"/>
    <mergeCell ref="U110:W110"/>
    <mergeCell ref="AE2:AK2"/>
    <mergeCell ref="AE3:AK3"/>
    <mergeCell ref="AE14:AK14"/>
    <mergeCell ref="AE15:AK15"/>
    <mergeCell ref="AE25:AK25"/>
    <mergeCell ref="AE26:AK26"/>
    <mergeCell ref="AE37:AK37"/>
    <mergeCell ref="AE38:AK38"/>
    <mergeCell ref="AE49:AK49"/>
    <mergeCell ref="AE50:AK50"/>
    <mergeCell ref="AE60:AK60"/>
    <mergeCell ref="AE61:AK61"/>
    <mergeCell ref="U99:AA99"/>
    <mergeCell ref="U3:AA3"/>
    <mergeCell ref="U11:W11"/>
    <mergeCell ref="U23:AA23"/>
    <mergeCell ref="U31:W31"/>
    <mergeCell ref="U42:AA42"/>
    <mergeCell ref="U50:W50"/>
    <mergeCell ref="U61:AA61"/>
    <mergeCell ref="U69:W69"/>
    <mergeCell ref="U80:AA80"/>
    <mergeCell ref="U88:W88"/>
    <mergeCell ref="U100:AA100"/>
    <mergeCell ref="U79:AA79"/>
    <mergeCell ref="L60:R60"/>
    <mergeCell ref="L61:R61"/>
    <mergeCell ref="B1:G1"/>
    <mergeCell ref="L1:R1"/>
    <mergeCell ref="U1:AA1"/>
    <mergeCell ref="U2:AA2"/>
    <mergeCell ref="U22:AA22"/>
    <mergeCell ref="U41:AA41"/>
    <mergeCell ref="U60:AA60"/>
    <mergeCell ref="L26:R26"/>
    <mergeCell ref="L36:R36"/>
    <mergeCell ref="L37:R37"/>
    <mergeCell ref="L48:R48"/>
    <mergeCell ref="L49:R49"/>
    <mergeCell ref="L2:R2"/>
    <mergeCell ref="L3:R3"/>
    <mergeCell ref="L14:R14"/>
    <mergeCell ref="L15:R15"/>
    <mergeCell ref="L25:R25"/>
    <mergeCell ref="A66:G66"/>
    <mergeCell ref="A2:G2"/>
    <mergeCell ref="A3:G3"/>
    <mergeCell ref="A15:G15"/>
    <mergeCell ref="A16:G16"/>
    <mergeCell ref="A28:G28"/>
    <mergeCell ref="A29:G29"/>
    <mergeCell ref="A41:G41"/>
    <mergeCell ref="A42:G42"/>
    <mergeCell ref="A54:G54"/>
    <mergeCell ref="A55:G55"/>
    <mergeCell ref="A65:G65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A16F-A5A3-435F-96A8-B915534E2497}">
  <dimension ref="A1:AJ116"/>
  <sheetViews>
    <sheetView topLeftCell="U62" workbookViewId="0">
      <selection activeCell="AR76" sqref="AR76"/>
    </sheetView>
  </sheetViews>
  <sheetFormatPr defaultRowHeight="15" x14ac:dyDescent="0.25"/>
  <sheetData>
    <row r="1" spans="1:36" x14ac:dyDescent="0.25">
      <c r="A1" s="18" t="s">
        <v>4</v>
      </c>
      <c r="B1" s="18"/>
      <c r="C1" s="18"/>
      <c r="D1" s="18"/>
      <c r="E1" s="18"/>
      <c r="F1" s="18"/>
      <c r="G1" s="18"/>
      <c r="K1" s="18" t="s">
        <v>15</v>
      </c>
      <c r="L1" s="18"/>
      <c r="M1" s="18"/>
      <c r="N1" s="18"/>
      <c r="O1" s="18"/>
      <c r="P1" s="18"/>
      <c r="Q1" s="18"/>
      <c r="U1" s="18" t="s">
        <v>16</v>
      </c>
      <c r="V1" s="18"/>
      <c r="W1" s="18"/>
      <c r="X1" s="18"/>
      <c r="Y1" s="18"/>
      <c r="Z1" s="18"/>
      <c r="AA1" s="18"/>
      <c r="AD1" s="18" t="s">
        <v>27</v>
      </c>
      <c r="AE1" s="18"/>
      <c r="AF1" s="18"/>
      <c r="AG1" s="18"/>
      <c r="AH1" s="18"/>
      <c r="AI1" s="18"/>
      <c r="AJ1" s="18"/>
    </row>
    <row r="2" spans="1:36" x14ac:dyDescent="0.25">
      <c r="C2" t="s">
        <v>3</v>
      </c>
      <c r="K2" s="11" t="s">
        <v>28</v>
      </c>
      <c r="L2" s="11"/>
      <c r="M2" s="11"/>
      <c r="N2" s="11"/>
      <c r="O2" s="11"/>
      <c r="P2" s="11"/>
      <c r="Q2" s="11"/>
      <c r="U2" s="11" t="s">
        <v>28</v>
      </c>
      <c r="V2" s="11"/>
      <c r="W2" s="11"/>
      <c r="X2" s="11"/>
      <c r="Y2" s="11"/>
      <c r="Z2" s="11"/>
      <c r="AA2" s="11"/>
      <c r="AD2" s="11" t="s">
        <v>28</v>
      </c>
      <c r="AE2" s="11"/>
      <c r="AF2" s="11"/>
      <c r="AG2" s="11"/>
      <c r="AH2" s="11"/>
      <c r="AI2" s="11"/>
      <c r="AJ2" s="11"/>
    </row>
    <row r="3" spans="1:36" x14ac:dyDescent="0.25">
      <c r="A3" s="11" t="s">
        <v>28</v>
      </c>
      <c r="B3" s="11"/>
      <c r="C3" s="11"/>
      <c r="D3" s="11"/>
      <c r="E3" s="11"/>
      <c r="F3" s="11"/>
      <c r="G3" s="11"/>
      <c r="K3" s="13" t="s">
        <v>15</v>
      </c>
      <c r="L3" s="14"/>
      <c r="M3" s="14"/>
      <c r="N3" s="14"/>
      <c r="O3" s="14"/>
      <c r="P3" s="14"/>
      <c r="Q3" s="15"/>
      <c r="U3" s="10" t="s">
        <v>16</v>
      </c>
      <c r="V3" s="10"/>
      <c r="W3" s="10"/>
      <c r="X3" s="10"/>
      <c r="Y3" s="10"/>
      <c r="Z3" s="10"/>
      <c r="AA3" s="10"/>
      <c r="AD3" s="13" t="s">
        <v>2</v>
      </c>
      <c r="AE3" s="14"/>
      <c r="AF3" s="14"/>
      <c r="AG3" s="14"/>
      <c r="AH3" s="14"/>
      <c r="AI3" s="14"/>
      <c r="AJ3" s="15"/>
    </row>
    <row r="4" spans="1:36" ht="43.5" customHeight="1" x14ac:dyDescent="0.25">
      <c r="A4" s="10" t="s">
        <v>4</v>
      </c>
      <c r="B4" s="10"/>
      <c r="C4" s="10"/>
      <c r="D4" s="10"/>
      <c r="E4" s="10"/>
      <c r="F4" s="10"/>
      <c r="G4" s="10"/>
      <c r="K4" s="7"/>
      <c r="L4" s="1" t="s">
        <v>5</v>
      </c>
      <c r="M4" s="6" t="s">
        <v>6</v>
      </c>
      <c r="N4" s="1" t="s">
        <v>7</v>
      </c>
      <c r="O4" s="6" t="s">
        <v>8</v>
      </c>
      <c r="P4" s="1" t="s">
        <v>1</v>
      </c>
      <c r="Q4" s="1" t="s">
        <v>0</v>
      </c>
      <c r="U4" s="1" t="s">
        <v>9</v>
      </c>
      <c r="V4">
        <v>0</v>
      </c>
      <c r="W4">
        <v>0</v>
      </c>
      <c r="X4">
        <v>0</v>
      </c>
      <c r="Z4">
        <v>0.49</v>
      </c>
      <c r="AA4">
        <v>0.46700000000000003</v>
      </c>
      <c r="AD4" s="7"/>
      <c r="AE4" s="1" t="s">
        <v>5</v>
      </c>
      <c r="AF4" s="6" t="s">
        <v>6</v>
      </c>
      <c r="AG4" s="1" t="s">
        <v>7</v>
      </c>
      <c r="AH4" s="6" t="s">
        <v>8</v>
      </c>
      <c r="AI4" s="1" t="s">
        <v>1</v>
      </c>
      <c r="AJ4" s="1" t="s">
        <v>0</v>
      </c>
    </row>
    <row r="5" spans="1:36" ht="105" x14ac:dyDescent="0.25">
      <c r="A5" s="5"/>
      <c r="B5" s="1" t="s">
        <v>5</v>
      </c>
      <c r="C5" s="6" t="s">
        <v>6</v>
      </c>
      <c r="D5" s="1" t="s">
        <v>7</v>
      </c>
      <c r="E5" s="6" t="s">
        <v>8</v>
      </c>
      <c r="F5" s="1" t="s">
        <v>1</v>
      </c>
      <c r="G5" s="1" t="s">
        <v>0</v>
      </c>
      <c r="K5" s="1" t="s">
        <v>9</v>
      </c>
      <c r="L5">
        <v>2.8370000000000002</v>
      </c>
      <c r="M5">
        <v>2.3860000000000001</v>
      </c>
      <c r="N5">
        <v>0.504</v>
      </c>
      <c r="O5">
        <v>0.215</v>
      </c>
      <c r="P5">
        <v>1.2</v>
      </c>
      <c r="Q5">
        <v>1.296</v>
      </c>
      <c r="U5" s="1" t="s">
        <v>10</v>
      </c>
      <c r="V5">
        <v>0</v>
      </c>
      <c r="W5">
        <v>0</v>
      </c>
      <c r="Z5">
        <v>0.496</v>
      </c>
      <c r="AA5">
        <v>0.49199999999999999</v>
      </c>
      <c r="AD5" s="1" t="s">
        <v>9</v>
      </c>
      <c r="AE5">
        <v>22</v>
      </c>
      <c r="AF5">
        <v>34</v>
      </c>
      <c r="AG5">
        <v>56</v>
      </c>
      <c r="AH5">
        <v>58</v>
      </c>
      <c r="AI5">
        <v>17</v>
      </c>
      <c r="AJ5">
        <v>13</v>
      </c>
    </row>
    <row r="6" spans="1:36" x14ac:dyDescent="0.25">
      <c r="A6" s="1" t="s">
        <v>9</v>
      </c>
      <c r="B6">
        <v>2540</v>
      </c>
      <c r="C6">
        <v>2681</v>
      </c>
      <c r="D6">
        <v>2695</v>
      </c>
      <c r="E6">
        <v>2660</v>
      </c>
      <c r="F6">
        <v>1466</v>
      </c>
      <c r="G6">
        <v>1353</v>
      </c>
      <c r="K6" s="1" t="s">
        <v>10</v>
      </c>
      <c r="L6">
        <v>2.4209999999999998</v>
      </c>
      <c r="M6">
        <v>2.7010000000000001</v>
      </c>
      <c r="N6">
        <v>0.504</v>
      </c>
      <c r="O6">
        <v>0.247</v>
      </c>
      <c r="P6">
        <v>0.61099999999999999</v>
      </c>
      <c r="Q6">
        <v>1.042</v>
      </c>
      <c r="U6" s="1" t="s">
        <v>11</v>
      </c>
      <c r="V6">
        <v>0</v>
      </c>
      <c r="W6">
        <v>0</v>
      </c>
      <c r="Z6">
        <v>0.49199999999999999</v>
      </c>
      <c r="AA6">
        <v>0.46200000000000002</v>
      </c>
      <c r="AD6" s="1" t="s">
        <v>10</v>
      </c>
      <c r="AE6">
        <v>84</v>
      </c>
      <c r="AF6">
        <v>71</v>
      </c>
      <c r="AG6">
        <v>70</v>
      </c>
      <c r="AH6">
        <v>75</v>
      </c>
      <c r="AI6">
        <v>32</v>
      </c>
      <c r="AJ6">
        <v>8</v>
      </c>
    </row>
    <row r="7" spans="1:36" x14ac:dyDescent="0.25">
      <c r="A7" s="1" t="s">
        <v>10</v>
      </c>
      <c r="B7">
        <v>2452</v>
      </c>
      <c r="C7">
        <v>2472</v>
      </c>
      <c r="D7">
        <v>2610</v>
      </c>
      <c r="E7">
        <v>2776</v>
      </c>
      <c r="F7">
        <v>1524</v>
      </c>
      <c r="G7">
        <v>1300</v>
      </c>
      <c r="K7" s="1" t="s">
        <v>11</v>
      </c>
      <c r="L7">
        <v>2.4830000000000001</v>
      </c>
      <c r="M7">
        <v>2.8039999999999998</v>
      </c>
      <c r="N7">
        <v>0.52900000000000003</v>
      </c>
      <c r="O7">
        <v>0.23499999999999999</v>
      </c>
      <c r="P7">
        <v>0.64100000000000001</v>
      </c>
      <c r="Q7">
        <v>0.92100000000000004</v>
      </c>
      <c r="U7" s="1" t="s">
        <v>12</v>
      </c>
      <c r="V7">
        <v>0</v>
      </c>
      <c r="W7">
        <v>0</v>
      </c>
      <c r="Z7">
        <v>0.48499999999999999</v>
      </c>
      <c r="AA7">
        <v>0.497</v>
      </c>
      <c r="AD7" s="1" t="s">
        <v>11</v>
      </c>
      <c r="AE7">
        <v>41</v>
      </c>
      <c r="AF7">
        <v>22</v>
      </c>
      <c r="AG7">
        <v>70</v>
      </c>
      <c r="AH7">
        <v>54</v>
      </c>
      <c r="AI7">
        <v>18</v>
      </c>
      <c r="AJ7">
        <v>8</v>
      </c>
    </row>
    <row r="8" spans="1:36" x14ac:dyDescent="0.25">
      <c r="A8" s="1" t="s">
        <v>11</v>
      </c>
      <c r="B8">
        <v>2598</v>
      </c>
      <c r="C8">
        <v>2380</v>
      </c>
      <c r="D8">
        <v>2765</v>
      </c>
      <c r="E8">
        <v>2581</v>
      </c>
      <c r="F8">
        <v>1506</v>
      </c>
      <c r="G8">
        <v>1335</v>
      </c>
      <c r="K8" s="1" t="s">
        <v>12</v>
      </c>
      <c r="L8">
        <v>2.4340000000000002</v>
      </c>
      <c r="M8">
        <v>2.7570000000000001</v>
      </c>
      <c r="N8">
        <v>0.59799999999999998</v>
      </c>
      <c r="O8">
        <v>0.24399999999999999</v>
      </c>
      <c r="P8">
        <v>0.60799999999999998</v>
      </c>
      <c r="Q8">
        <v>0.77200000000000002</v>
      </c>
      <c r="U8" s="1" t="s">
        <v>13</v>
      </c>
      <c r="V8">
        <v>0</v>
      </c>
      <c r="W8">
        <v>0</v>
      </c>
      <c r="Z8">
        <v>0.496</v>
      </c>
      <c r="AA8">
        <v>0.496</v>
      </c>
      <c r="AD8" s="1" t="s">
        <v>12</v>
      </c>
      <c r="AE8">
        <v>51</v>
      </c>
      <c r="AF8">
        <v>32</v>
      </c>
      <c r="AG8">
        <v>61</v>
      </c>
      <c r="AH8">
        <v>72</v>
      </c>
      <c r="AI8">
        <v>27</v>
      </c>
      <c r="AJ8">
        <v>7</v>
      </c>
    </row>
    <row r="9" spans="1:36" x14ac:dyDescent="0.25">
      <c r="A9" s="1" t="s">
        <v>12</v>
      </c>
      <c r="B9">
        <v>2548</v>
      </c>
      <c r="C9">
        <v>2591</v>
      </c>
      <c r="D9">
        <v>2672</v>
      </c>
      <c r="E9">
        <v>2678</v>
      </c>
      <c r="F9">
        <v>1514</v>
      </c>
      <c r="G9">
        <v>1346</v>
      </c>
      <c r="K9" s="1" t="s">
        <v>13</v>
      </c>
      <c r="L9">
        <v>2.496</v>
      </c>
      <c r="M9">
        <v>2.8090000000000002</v>
      </c>
      <c r="N9">
        <v>0.65400000000000003</v>
      </c>
      <c r="O9">
        <v>0.30499999999999999</v>
      </c>
      <c r="P9">
        <v>0.58099999999999996</v>
      </c>
      <c r="Q9">
        <v>0.996</v>
      </c>
      <c r="AD9" s="1" t="s">
        <v>13</v>
      </c>
      <c r="AE9">
        <v>54</v>
      </c>
      <c r="AF9">
        <v>1</v>
      </c>
      <c r="AG9">
        <v>59</v>
      </c>
      <c r="AH9">
        <v>57</v>
      </c>
      <c r="AI9">
        <v>18</v>
      </c>
      <c r="AJ9">
        <v>8</v>
      </c>
    </row>
    <row r="10" spans="1:36" x14ac:dyDescent="0.25">
      <c r="A10" s="1" t="s">
        <v>13</v>
      </c>
      <c r="B10">
        <v>2336</v>
      </c>
      <c r="C10">
        <v>2475</v>
      </c>
      <c r="D10">
        <v>2867</v>
      </c>
      <c r="E10">
        <v>2795</v>
      </c>
      <c r="F10">
        <v>1420</v>
      </c>
      <c r="G10">
        <v>1264</v>
      </c>
      <c r="U10" s="16" t="s">
        <v>17</v>
      </c>
      <c r="V10" s="16"/>
      <c r="W10" s="16"/>
    </row>
    <row r="11" spans="1:36" x14ac:dyDescent="0.25">
      <c r="V11" s="1" t="s">
        <v>0</v>
      </c>
      <c r="W11" s="1" t="s">
        <v>1</v>
      </c>
    </row>
    <row r="12" spans="1:36" x14ac:dyDescent="0.25">
      <c r="U12" s="1" t="s">
        <v>9</v>
      </c>
      <c r="V12" s="4">
        <v>0.66749999999999998</v>
      </c>
      <c r="W12" s="4">
        <v>0.69023999999999996</v>
      </c>
    </row>
    <row r="13" spans="1:36" x14ac:dyDescent="0.25">
      <c r="U13" s="1" t="s">
        <v>10</v>
      </c>
      <c r="V13" s="4">
        <v>0.69328000000000001</v>
      </c>
      <c r="W13" s="4">
        <v>0.69642000000000004</v>
      </c>
    </row>
    <row r="14" spans="1:36" x14ac:dyDescent="0.25">
      <c r="K14" s="11" t="s">
        <v>29</v>
      </c>
      <c r="L14" s="11"/>
      <c r="M14" s="11"/>
      <c r="N14" s="11"/>
      <c r="O14" s="11"/>
      <c r="P14" s="11"/>
      <c r="Q14" s="11"/>
      <c r="U14" s="1" t="s">
        <v>11</v>
      </c>
      <c r="V14" s="4">
        <v>0.66269</v>
      </c>
      <c r="W14" s="4">
        <v>0.69401999999999997</v>
      </c>
      <c r="AD14" s="11" t="s">
        <v>29</v>
      </c>
      <c r="AE14" s="11"/>
      <c r="AF14" s="11"/>
      <c r="AG14" s="11"/>
      <c r="AH14" s="11"/>
      <c r="AI14" s="11"/>
      <c r="AJ14" s="11"/>
    </row>
    <row r="15" spans="1:36" x14ac:dyDescent="0.25">
      <c r="C15" t="s">
        <v>3</v>
      </c>
      <c r="K15" s="13" t="s">
        <v>15</v>
      </c>
      <c r="L15" s="14"/>
      <c r="M15" s="14"/>
      <c r="N15" s="14"/>
      <c r="O15" s="14"/>
      <c r="P15" s="14"/>
      <c r="Q15" s="15"/>
      <c r="U15" s="1" t="s">
        <v>12</v>
      </c>
      <c r="V15" s="4">
        <v>0.70011000000000001</v>
      </c>
      <c r="W15" s="4">
        <v>0.6825</v>
      </c>
      <c r="AD15" s="13" t="s">
        <v>2</v>
      </c>
      <c r="AE15" s="14"/>
      <c r="AF15" s="14"/>
      <c r="AG15" s="14"/>
      <c r="AH15" s="14"/>
      <c r="AI15" s="14"/>
      <c r="AJ15" s="15"/>
    </row>
    <row r="16" spans="1:36" ht="35.25" customHeight="1" x14ac:dyDescent="0.25">
      <c r="A16" s="11" t="s">
        <v>29</v>
      </c>
      <c r="B16" s="11"/>
      <c r="C16" s="11"/>
      <c r="D16" s="11"/>
      <c r="E16" s="11"/>
      <c r="F16" s="11"/>
      <c r="G16" s="11"/>
      <c r="K16" s="7"/>
      <c r="L16" s="1" t="s">
        <v>5</v>
      </c>
      <c r="M16" s="6" t="s">
        <v>6</v>
      </c>
      <c r="N16" s="1" t="s">
        <v>7</v>
      </c>
      <c r="O16" s="6" t="s">
        <v>8</v>
      </c>
      <c r="P16" s="1" t="s">
        <v>1</v>
      </c>
      <c r="Q16" s="1" t="s">
        <v>0</v>
      </c>
      <c r="U16" s="1" t="s">
        <v>13</v>
      </c>
      <c r="V16" s="4">
        <v>0.70289000000000001</v>
      </c>
      <c r="W16" s="4">
        <v>0.69769000000000003</v>
      </c>
      <c r="AD16" s="7"/>
      <c r="AE16" s="1" t="s">
        <v>5</v>
      </c>
      <c r="AF16" s="6" t="s">
        <v>6</v>
      </c>
      <c r="AG16" s="1" t="s">
        <v>7</v>
      </c>
      <c r="AH16" s="6" t="s">
        <v>8</v>
      </c>
      <c r="AI16" s="1" t="s">
        <v>1</v>
      </c>
      <c r="AJ16" s="1" t="s">
        <v>0</v>
      </c>
    </row>
    <row r="17" spans="1:36" x14ac:dyDescent="0.25">
      <c r="A17" s="10" t="s">
        <v>4</v>
      </c>
      <c r="B17" s="10"/>
      <c r="C17" s="10"/>
      <c r="D17" s="10"/>
      <c r="E17" s="10"/>
      <c r="F17" s="10"/>
      <c r="G17" s="10"/>
      <c r="K17" s="1" t="s">
        <v>9</v>
      </c>
      <c r="L17">
        <v>2.2469999999999999</v>
      </c>
      <c r="M17">
        <v>2.302</v>
      </c>
      <c r="N17">
        <v>0.26700000000000002</v>
      </c>
      <c r="O17">
        <v>0.22800000000000001</v>
      </c>
      <c r="P17">
        <v>0.61299999999999999</v>
      </c>
      <c r="Q17">
        <v>1.331</v>
      </c>
      <c r="AD17" s="1" t="s">
        <v>9</v>
      </c>
      <c r="AE17">
        <v>2</v>
      </c>
      <c r="AF17">
        <v>42</v>
      </c>
      <c r="AG17">
        <v>74</v>
      </c>
      <c r="AH17">
        <v>97</v>
      </c>
      <c r="AI17">
        <v>28</v>
      </c>
      <c r="AJ17">
        <v>8</v>
      </c>
    </row>
    <row r="18" spans="1:36" ht="105" x14ac:dyDescent="0.25">
      <c r="A18" s="5"/>
      <c r="B18" s="1" t="s">
        <v>5</v>
      </c>
      <c r="C18" s="6" t="s">
        <v>6</v>
      </c>
      <c r="D18" s="1" t="s">
        <v>7</v>
      </c>
      <c r="E18" s="6" t="s">
        <v>8</v>
      </c>
      <c r="F18" s="1" t="s">
        <v>1</v>
      </c>
      <c r="G18" s="1" t="s">
        <v>0</v>
      </c>
      <c r="K18" s="1" t="s">
        <v>10</v>
      </c>
      <c r="L18">
        <v>2.3940000000000001</v>
      </c>
      <c r="M18">
        <v>2.6339999999999999</v>
      </c>
      <c r="N18">
        <v>0.498</v>
      </c>
      <c r="O18">
        <v>0.30599999999999999</v>
      </c>
      <c r="P18">
        <v>0.69599999999999995</v>
      </c>
      <c r="Q18">
        <v>1.1040000000000001</v>
      </c>
      <c r="AD18" s="1" t="s">
        <v>10</v>
      </c>
      <c r="AE18">
        <v>6</v>
      </c>
      <c r="AF18">
        <v>88</v>
      </c>
      <c r="AG18">
        <v>78</v>
      </c>
      <c r="AH18">
        <v>94</v>
      </c>
      <c r="AI18">
        <v>32</v>
      </c>
      <c r="AJ18">
        <v>4</v>
      </c>
    </row>
    <row r="19" spans="1:36" x14ac:dyDescent="0.25">
      <c r="A19" s="1" t="s">
        <v>9</v>
      </c>
      <c r="B19">
        <v>2542</v>
      </c>
      <c r="C19">
        <v>2751</v>
      </c>
      <c r="D19">
        <v>2742</v>
      </c>
      <c r="E19">
        <v>2896</v>
      </c>
      <c r="F19">
        <v>1494</v>
      </c>
      <c r="G19">
        <v>1338</v>
      </c>
      <c r="K19" s="1" t="s">
        <v>11</v>
      </c>
      <c r="L19">
        <v>2.5219999999999998</v>
      </c>
      <c r="M19">
        <v>2.6219999999999999</v>
      </c>
      <c r="N19">
        <v>0.56200000000000006</v>
      </c>
      <c r="O19">
        <v>0.26300000000000001</v>
      </c>
      <c r="P19">
        <v>0.59099999999999997</v>
      </c>
      <c r="Q19">
        <v>1.296</v>
      </c>
      <c r="AD19" s="1" t="s">
        <v>11</v>
      </c>
      <c r="AE19">
        <v>28</v>
      </c>
      <c r="AF19">
        <v>58</v>
      </c>
      <c r="AG19">
        <v>74</v>
      </c>
      <c r="AH19">
        <v>85</v>
      </c>
      <c r="AI19">
        <v>17</v>
      </c>
      <c r="AJ19">
        <v>10</v>
      </c>
    </row>
    <row r="20" spans="1:36" x14ac:dyDescent="0.25">
      <c r="A20" s="1" t="s">
        <v>10</v>
      </c>
      <c r="B20">
        <v>2645</v>
      </c>
      <c r="C20">
        <v>2359</v>
      </c>
      <c r="D20">
        <v>2688</v>
      </c>
      <c r="E20">
        <v>2938</v>
      </c>
      <c r="F20">
        <v>1431</v>
      </c>
      <c r="G20">
        <v>1262</v>
      </c>
      <c r="K20" s="1" t="s">
        <v>12</v>
      </c>
      <c r="L20">
        <v>2.8279999999999998</v>
      </c>
      <c r="M20">
        <v>2.4660000000000002</v>
      </c>
      <c r="N20">
        <v>0.48299999999999998</v>
      </c>
      <c r="O20">
        <v>0.24</v>
      </c>
      <c r="P20">
        <v>0.77100000000000002</v>
      </c>
      <c r="Q20">
        <v>1.2370000000000001</v>
      </c>
      <c r="AD20" s="1" t="s">
        <v>12</v>
      </c>
      <c r="AE20">
        <v>43</v>
      </c>
      <c r="AF20">
        <v>85</v>
      </c>
      <c r="AG20">
        <v>72</v>
      </c>
      <c r="AH20">
        <v>74</v>
      </c>
      <c r="AI20">
        <v>26</v>
      </c>
      <c r="AJ20">
        <v>4</v>
      </c>
    </row>
    <row r="21" spans="1:36" x14ac:dyDescent="0.25">
      <c r="A21" s="1" t="s">
        <v>11</v>
      </c>
      <c r="B21">
        <v>2747</v>
      </c>
      <c r="C21">
        <v>2834</v>
      </c>
      <c r="D21">
        <v>3017</v>
      </c>
      <c r="E21">
        <v>2793</v>
      </c>
      <c r="F21">
        <v>1447</v>
      </c>
      <c r="G21">
        <v>1334</v>
      </c>
      <c r="K21" s="1" t="s">
        <v>13</v>
      </c>
      <c r="L21">
        <v>2.3420000000000001</v>
      </c>
      <c r="M21">
        <v>2.7050000000000001</v>
      </c>
      <c r="N21">
        <v>0.46800000000000003</v>
      </c>
      <c r="O21">
        <v>0.33900000000000002</v>
      </c>
      <c r="P21">
        <v>0.64</v>
      </c>
      <c r="Q21">
        <v>1.403</v>
      </c>
      <c r="U21" s="11" t="s">
        <v>29</v>
      </c>
      <c r="V21" s="11"/>
      <c r="W21" s="11"/>
      <c r="X21" s="11"/>
      <c r="Y21" s="11"/>
      <c r="Z21" s="11"/>
      <c r="AA21" s="11"/>
      <c r="AD21" s="1" t="s">
        <v>13</v>
      </c>
      <c r="AE21">
        <v>18</v>
      </c>
      <c r="AF21">
        <v>49</v>
      </c>
      <c r="AG21">
        <v>85</v>
      </c>
      <c r="AH21">
        <v>75</v>
      </c>
      <c r="AI21">
        <v>25</v>
      </c>
      <c r="AJ21">
        <v>7</v>
      </c>
    </row>
    <row r="22" spans="1:36" x14ac:dyDescent="0.25">
      <c r="A22" s="1" t="s">
        <v>12</v>
      </c>
      <c r="B22">
        <v>2599</v>
      </c>
      <c r="C22">
        <v>2527</v>
      </c>
      <c r="D22">
        <v>2989</v>
      </c>
      <c r="E22">
        <v>2963</v>
      </c>
      <c r="F22">
        <v>1546</v>
      </c>
      <c r="G22">
        <v>1261</v>
      </c>
      <c r="U22" s="10" t="s">
        <v>16</v>
      </c>
      <c r="V22" s="10"/>
      <c r="W22" s="10"/>
      <c r="X22" s="10"/>
      <c r="Y22" s="10"/>
      <c r="Z22" s="10"/>
      <c r="AA22" s="10"/>
    </row>
    <row r="23" spans="1:36" ht="105" x14ac:dyDescent="0.25">
      <c r="A23" s="1" t="s">
        <v>13</v>
      </c>
      <c r="B23">
        <v>2739</v>
      </c>
      <c r="C23">
        <v>2916</v>
      </c>
      <c r="D23">
        <v>2886</v>
      </c>
      <c r="E23">
        <v>2821</v>
      </c>
      <c r="F23">
        <v>1495</v>
      </c>
      <c r="G23">
        <v>1414</v>
      </c>
      <c r="U23" s="5"/>
      <c r="V23" s="1" t="s">
        <v>5</v>
      </c>
      <c r="W23" s="6" t="s">
        <v>6</v>
      </c>
      <c r="X23" s="1" t="s">
        <v>7</v>
      </c>
      <c r="Y23" s="6" t="s">
        <v>8</v>
      </c>
      <c r="Z23" s="1" t="s">
        <v>1</v>
      </c>
      <c r="AA23" s="1" t="s">
        <v>0</v>
      </c>
    </row>
    <row r="24" spans="1:36" x14ac:dyDescent="0.25">
      <c r="U24" s="1" t="s">
        <v>9</v>
      </c>
      <c r="V24">
        <v>0</v>
      </c>
      <c r="W24">
        <v>0</v>
      </c>
      <c r="Z24">
        <v>0.25900000000000001</v>
      </c>
      <c r="AA24">
        <v>0.25900000000000001</v>
      </c>
    </row>
    <row r="25" spans="1:36" x14ac:dyDescent="0.25">
      <c r="K25" s="11" t="s">
        <v>30</v>
      </c>
      <c r="L25" s="11"/>
      <c r="M25" s="11"/>
      <c r="N25" s="11"/>
      <c r="O25" s="11"/>
      <c r="P25" s="11"/>
      <c r="Q25" s="11"/>
      <c r="U25" s="1" t="s">
        <v>10</v>
      </c>
      <c r="V25">
        <v>0</v>
      </c>
      <c r="W25">
        <v>0</v>
      </c>
      <c r="Z25">
        <v>0.26400000000000001</v>
      </c>
      <c r="AA25">
        <v>0.27800000000000002</v>
      </c>
      <c r="AD25" s="11" t="s">
        <v>30</v>
      </c>
      <c r="AE25" s="11"/>
      <c r="AF25" s="11"/>
      <c r="AG25" s="11"/>
      <c r="AH25" s="11"/>
      <c r="AI25" s="11"/>
      <c r="AJ25" s="11"/>
    </row>
    <row r="26" spans="1:36" x14ac:dyDescent="0.25">
      <c r="K26" s="13" t="s">
        <v>15</v>
      </c>
      <c r="L26" s="14"/>
      <c r="M26" s="14"/>
      <c r="N26" s="14"/>
      <c r="O26" s="14"/>
      <c r="P26" s="14"/>
      <c r="Q26" s="15"/>
      <c r="U26" s="1" t="s">
        <v>11</v>
      </c>
      <c r="V26">
        <v>0</v>
      </c>
      <c r="W26">
        <v>0</v>
      </c>
      <c r="Z26">
        <v>0.26300000000000001</v>
      </c>
      <c r="AA26">
        <v>0.26100000000000001</v>
      </c>
      <c r="AD26" s="13" t="s">
        <v>2</v>
      </c>
      <c r="AE26" s="14"/>
      <c r="AF26" s="14"/>
      <c r="AG26" s="14"/>
      <c r="AH26" s="14"/>
      <c r="AI26" s="14"/>
      <c r="AJ26" s="15"/>
    </row>
    <row r="27" spans="1:36" ht="105" x14ac:dyDescent="0.25">
      <c r="K27" s="7"/>
      <c r="L27" s="1" t="s">
        <v>5</v>
      </c>
      <c r="M27" s="6" t="s">
        <v>6</v>
      </c>
      <c r="N27" s="1" t="s">
        <v>7</v>
      </c>
      <c r="O27" s="6" t="s">
        <v>8</v>
      </c>
      <c r="P27" s="1" t="s">
        <v>1</v>
      </c>
      <c r="Q27" s="1" t="s">
        <v>0</v>
      </c>
      <c r="U27" s="1" t="s">
        <v>12</v>
      </c>
      <c r="V27">
        <v>0</v>
      </c>
      <c r="W27">
        <v>0</v>
      </c>
      <c r="Z27">
        <v>0.26100000000000001</v>
      </c>
      <c r="AA27">
        <v>0.27300000000000002</v>
      </c>
      <c r="AD27" s="7"/>
      <c r="AE27" s="1" t="s">
        <v>5</v>
      </c>
      <c r="AF27" s="6" t="s">
        <v>6</v>
      </c>
      <c r="AG27" s="1" t="s">
        <v>7</v>
      </c>
      <c r="AH27" s="6" t="s">
        <v>8</v>
      </c>
      <c r="AI27" s="1" t="s">
        <v>1</v>
      </c>
      <c r="AJ27" s="1" t="s">
        <v>0</v>
      </c>
    </row>
    <row r="28" spans="1:36" x14ac:dyDescent="0.25">
      <c r="C28" t="s">
        <v>3</v>
      </c>
      <c r="K28" s="1" t="s">
        <v>9</v>
      </c>
      <c r="L28">
        <v>2.7970000000000002</v>
      </c>
      <c r="M28">
        <v>2.137</v>
      </c>
      <c r="N28">
        <v>0.36399999999999999</v>
      </c>
      <c r="O28">
        <v>0.23100000000000001</v>
      </c>
      <c r="P28">
        <v>0.61099999999999999</v>
      </c>
      <c r="Q28">
        <v>0.69299999999999995</v>
      </c>
      <c r="U28" s="1" t="s">
        <v>13</v>
      </c>
      <c r="V28">
        <v>0</v>
      </c>
      <c r="W28">
        <v>0</v>
      </c>
      <c r="Z28">
        <v>0.255</v>
      </c>
      <c r="AA28">
        <v>0.24099999999999999</v>
      </c>
      <c r="AD28" s="1" t="s">
        <v>9</v>
      </c>
      <c r="AE28">
        <v>15</v>
      </c>
      <c r="AF28">
        <v>11</v>
      </c>
      <c r="AG28">
        <v>122</v>
      </c>
      <c r="AH28">
        <v>83</v>
      </c>
      <c r="AI28">
        <v>17</v>
      </c>
      <c r="AJ28">
        <v>5</v>
      </c>
    </row>
    <row r="29" spans="1:36" x14ac:dyDescent="0.25">
      <c r="A29" s="11" t="s">
        <v>30</v>
      </c>
      <c r="B29" s="11"/>
      <c r="C29" s="11"/>
      <c r="D29" s="11"/>
      <c r="E29" s="11"/>
      <c r="F29" s="11"/>
      <c r="G29" s="11"/>
      <c r="K29" s="1" t="s">
        <v>10</v>
      </c>
      <c r="L29">
        <v>2.3260000000000001</v>
      </c>
      <c r="M29">
        <v>2.0870000000000002</v>
      </c>
      <c r="N29">
        <v>0.39800000000000002</v>
      </c>
      <c r="O29">
        <v>0.27700000000000002</v>
      </c>
      <c r="P29">
        <v>0.60399999999999998</v>
      </c>
      <c r="Q29">
        <v>0.78700000000000003</v>
      </c>
      <c r="AD29" s="1" t="s">
        <v>10</v>
      </c>
      <c r="AE29">
        <v>4</v>
      </c>
      <c r="AF29">
        <v>5</v>
      </c>
      <c r="AG29">
        <v>123</v>
      </c>
      <c r="AH29">
        <v>107</v>
      </c>
      <c r="AI29">
        <v>18</v>
      </c>
      <c r="AJ29">
        <v>9</v>
      </c>
    </row>
    <row r="30" spans="1:36" x14ac:dyDescent="0.25">
      <c r="A30" s="10" t="s">
        <v>4</v>
      </c>
      <c r="B30" s="10"/>
      <c r="C30" s="10"/>
      <c r="D30" s="10"/>
      <c r="E30" s="10"/>
      <c r="F30" s="10"/>
      <c r="G30" s="10"/>
      <c r="K30" s="1" t="s">
        <v>11</v>
      </c>
      <c r="L30">
        <v>2.3420000000000001</v>
      </c>
      <c r="M30">
        <v>2.3090000000000002</v>
      </c>
      <c r="N30">
        <v>0.44600000000000001</v>
      </c>
      <c r="O30">
        <v>0.25600000000000001</v>
      </c>
      <c r="P30">
        <v>0.61799999999999999</v>
      </c>
      <c r="Q30">
        <v>0.77500000000000002</v>
      </c>
      <c r="U30" s="16" t="s">
        <v>17</v>
      </c>
      <c r="V30" s="16"/>
      <c r="W30" s="16"/>
      <c r="AD30" s="1" t="s">
        <v>11</v>
      </c>
      <c r="AE30">
        <v>8</v>
      </c>
      <c r="AF30">
        <v>4</v>
      </c>
      <c r="AG30">
        <v>69</v>
      </c>
      <c r="AH30">
        <v>92</v>
      </c>
      <c r="AI30">
        <v>19</v>
      </c>
      <c r="AJ30">
        <v>7</v>
      </c>
    </row>
    <row r="31" spans="1:36" ht="105" x14ac:dyDescent="0.25">
      <c r="A31" s="5"/>
      <c r="B31" s="1" t="s">
        <v>5</v>
      </c>
      <c r="C31" s="6" t="s">
        <v>6</v>
      </c>
      <c r="D31" s="1" t="s">
        <v>7</v>
      </c>
      <c r="E31" s="6" t="s">
        <v>8</v>
      </c>
      <c r="F31" s="1" t="s">
        <v>1</v>
      </c>
      <c r="G31" s="1" t="s">
        <v>0</v>
      </c>
      <c r="K31" s="1" t="s">
        <v>12</v>
      </c>
      <c r="L31">
        <v>2.5840000000000001</v>
      </c>
      <c r="M31">
        <v>2.145</v>
      </c>
      <c r="N31">
        <v>0.40300000000000002</v>
      </c>
      <c r="O31">
        <v>0.245</v>
      </c>
      <c r="P31">
        <v>0.61699999999999999</v>
      </c>
      <c r="Q31">
        <v>1.004</v>
      </c>
      <c r="V31" s="1" t="s">
        <v>0</v>
      </c>
      <c r="W31" s="1" t="s">
        <v>1</v>
      </c>
      <c r="AD31" s="1" t="s">
        <v>12</v>
      </c>
      <c r="AE31">
        <v>5</v>
      </c>
      <c r="AF31">
        <v>7</v>
      </c>
      <c r="AG31">
        <v>94</v>
      </c>
      <c r="AH31">
        <v>76</v>
      </c>
      <c r="AI31">
        <v>22</v>
      </c>
      <c r="AJ31">
        <v>21</v>
      </c>
    </row>
    <row r="32" spans="1:36" x14ac:dyDescent="0.25">
      <c r="A32" s="1" t="s">
        <v>9</v>
      </c>
      <c r="B32">
        <v>2667</v>
      </c>
      <c r="C32">
        <v>2765</v>
      </c>
      <c r="D32">
        <v>2941</v>
      </c>
      <c r="E32">
        <v>2817</v>
      </c>
      <c r="F32">
        <v>1468</v>
      </c>
      <c r="G32">
        <v>1257</v>
      </c>
      <c r="K32" s="1" t="s">
        <v>13</v>
      </c>
      <c r="L32">
        <v>2.456</v>
      </c>
      <c r="M32">
        <v>2.5379999999999998</v>
      </c>
      <c r="N32">
        <v>0.499</v>
      </c>
      <c r="O32">
        <v>0.24099999999999999</v>
      </c>
      <c r="P32">
        <v>0.621</v>
      </c>
      <c r="Q32">
        <v>0.94799999999999995</v>
      </c>
      <c r="U32" s="1" t="s">
        <v>9</v>
      </c>
      <c r="V32" s="4">
        <v>0.28403</v>
      </c>
      <c r="W32" s="4">
        <v>0.28029999999999999</v>
      </c>
      <c r="AD32" s="1" t="s">
        <v>13</v>
      </c>
      <c r="AE32">
        <v>8</v>
      </c>
      <c r="AF32">
        <v>2</v>
      </c>
      <c r="AG32">
        <v>87</v>
      </c>
      <c r="AH32">
        <v>91</v>
      </c>
      <c r="AI32">
        <v>19</v>
      </c>
      <c r="AJ32">
        <v>9</v>
      </c>
    </row>
    <row r="33" spans="1:36" x14ac:dyDescent="0.25">
      <c r="A33" s="1" t="s">
        <v>10</v>
      </c>
      <c r="B33">
        <v>2744</v>
      </c>
      <c r="C33">
        <v>2643</v>
      </c>
      <c r="D33">
        <v>2670</v>
      </c>
      <c r="E33">
        <v>2870</v>
      </c>
      <c r="F33">
        <v>1429</v>
      </c>
      <c r="G33">
        <v>1373</v>
      </c>
      <c r="U33" s="1" t="s">
        <v>10</v>
      </c>
      <c r="V33" s="4">
        <v>0.30599999999999999</v>
      </c>
      <c r="W33" s="4">
        <v>0.28839999999999999</v>
      </c>
    </row>
    <row r="34" spans="1:36" x14ac:dyDescent="0.25">
      <c r="A34" s="1" t="s">
        <v>11</v>
      </c>
      <c r="B34">
        <v>2602</v>
      </c>
      <c r="C34">
        <v>2683</v>
      </c>
      <c r="D34">
        <v>2886</v>
      </c>
      <c r="E34">
        <v>2675</v>
      </c>
      <c r="F34">
        <v>1405</v>
      </c>
      <c r="G34">
        <v>1271</v>
      </c>
      <c r="U34" s="1" t="s">
        <v>11</v>
      </c>
      <c r="V34" s="4">
        <v>0.28549999999999998</v>
      </c>
      <c r="W34" s="4">
        <v>0.2868</v>
      </c>
    </row>
    <row r="35" spans="1:36" x14ac:dyDescent="0.25">
      <c r="A35" s="1" t="s">
        <v>12</v>
      </c>
      <c r="B35">
        <v>2794</v>
      </c>
      <c r="C35">
        <v>2642</v>
      </c>
      <c r="D35">
        <v>2774</v>
      </c>
      <c r="E35">
        <v>2897</v>
      </c>
      <c r="F35">
        <v>1459</v>
      </c>
      <c r="G35">
        <v>1396</v>
      </c>
      <c r="U35" s="1" t="s">
        <v>12</v>
      </c>
      <c r="V35" s="4">
        <v>0.29699999999999999</v>
      </c>
      <c r="W35" s="4">
        <v>0.28460000000000002</v>
      </c>
    </row>
    <row r="36" spans="1:36" x14ac:dyDescent="0.25">
      <c r="A36" s="1" t="s">
        <v>13</v>
      </c>
      <c r="B36">
        <v>2668</v>
      </c>
      <c r="C36">
        <v>2771</v>
      </c>
      <c r="D36">
        <v>2801</v>
      </c>
      <c r="E36">
        <v>2856</v>
      </c>
      <c r="F36">
        <v>1468</v>
      </c>
      <c r="G36">
        <v>1413</v>
      </c>
      <c r="K36" s="11" t="s">
        <v>14</v>
      </c>
      <c r="L36" s="11"/>
      <c r="M36" s="11"/>
      <c r="N36" s="11"/>
      <c r="O36" s="11"/>
      <c r="P36" s="11"/>
      <c r="Q36" s="11"/>
      <c r="U36" s="1" t="s">
        <v>13</v>
      </c>
      <c r="V36" s="4">
        <v>0.26713999999999999</v>
      </c>
      <c r="W36" s="4">
        <v>0.2792</v>
      </c>
    </row>
    <row r="37" spans="1:36" x14ac:dyDescent="0.25">
      <c r="K37" s="13" t="s">
        <v>15</v>
      </c>
      <c r="L37" s="14"/>
      <c r="M37" s="14"/>
      <c r="N37" s="14"/>
      <c r="O37" s="14"/>
      <c r="P37" s="14"/>
      <c r="Q37" s="15"/>
      <c r="AD37" s="11" t="s">
        <v>14</v>
      </c>
      <c r="AE37" s="11"/>
      <c r="AF37" s="11"/>
      <c r="AG37" s="11"/>
      <c r="AH37" s="11"/>
      <c r="AI37" s="11"/>
      <c r="AJ37" s="11"/>
    </row>
    <row r="38" spans="1:36" ht="42.75" customHeight="1" x14ac:dyDescent="0.25">
      <c r="K38" s="7"/>
      <c r="L38" s="1" t="s">
        <v>5</v>
      </c>
      <c r="M38" s="6" t="s">
        <v>6</v>
      </c>
      <c r="N38" s="1" t="s">
        <v>7</v>
      </c>
      <c r="O38" s="6" t="s">
        <v>8</v>
      </c>
      <c r="P38" s="1" t="s">
        <v>1</v>
      </c>
      <c r="Q38" s="1" t="s">
        <v>0</v>
      </c>
      <c r="AD38" s="13" t="s">
        <v>2</v>
      </c>
      <c r="AE38" s="14"/>
      <c r="AF38" s="14"/>
      <c r="AG38" s="14"/>
      <c r="AH38" s="14"/>
      <c r="AI38" s="14"/>
      <c r="AJ38" s="15"/>
    </row>
    <row r="39" spans="1:36" ht="105" x14ac:dyDescent="0.25">
      <c r="K39" s="1" t="s">
        <v>9</v>
      </c>
      <c r="L39">
        <v>2.16</v>
      </c>
      <c r="M39">
        <v>2.2639999999999998</v>
      </c>
      <c r="N39">
        <v>1.232</v>
      </c>
      <c r="O39">
        <v>1.147</v>
      </c>
      <c r="P39">
        <v>0.56299999999999994</v>
      </c>
      <c r="Q39">
        <v>0.68200000000000005</v>
      </c>
      <c r="AD39" s="7"/>
      <c r="AE39" s="1" t="s">
        <v>5</v>
      </c>
      <c r="AF39" s="6" t="s">
        <v>6</v>
      </c>
      <c r="AG39" s="1" t="s">
        <v>7</v>
      </c>
      <c r="AH39" s="6" t="s">
        <v>8</v>
      </c>
      <c r="AI39" s="1" t="s">
        <v>1</v>
      </c>
      <c r="AJ39" s="1" t="s">
        <v>0</v>
      </c>
    </row>
    <row r="40" spans="1:36" x14ac:dyDescent="0.25">
      <c r="K40" s="1" t="s">
        <v>10</v>
      </c>
      <c r="L40">
        <v>2.5939999999999999</v>
      </c>
      <c r="M40">
        <v>2.1619999999999999</v>
      </c>
      <c r="N40">
        <v>1.7889999999999999</v>
      </c>
      <c r="O40">
        <v>1.3360000000000001</v>
      </c>
      <c r="P40">
        <v>0.628</v>
      </c>
      <c r="Q40">
        <v>1.018</v>
      </c>
      <c r="U40" s="11" t="s">
        <v>30</v>
      </c>
      <c r="V40" s="11"/>
      <c r="W40" s="11"/>
      <c r="X40" s="11"/>
      <c r="Y40" s="11"/>
      <c r="Z40" s="11"/>
      <c r="AA40" s="11"/>
      <c r="AD40" s="1" t="s">
        <v>9</v>
      </c>
      <c r="AE40">
        <v>96</v>
      </c>
      <c r="AF40">
        <v>47</v>
      </c>
      <c r="AG40">
        <v>91</v>
      </c>
      <c r="AH40">
        <v>70</v>
      </c>
      <c r="AI40">
        <v>23</v>
      </c>
      <c r="AJ40">
        <v>9</v>
      </c>
    </row>
    <row r="41" spans="1:36" x14ac:dyDescent="0.25">
      <c r="C41" t="s">
        <v>3</v>
      </c>
      <c r="K41" s="1" t="s">
        <v>11</v>
      </c>
      <c r="L41">
        <v>2.7229999999999999</v>
      </c>
      <c r="M41">
        <v>2.0939999999999999</v>
      </c>
      <c r="N41">
        <v>1.5680000000000001</v>
      </c>
      <c r="O41">
        <v>1.1970000000000001</v>
      </c>
      <c r="P41">
        <v>0.91100000000000003</v>
      </c>
      <c r="Q41">
        <v>1.0329999999999999</v>
      </c>
      <c r="U41" s="10" t="s">
        <v>16</v>
      </c>
      <c r="V41" s="10"/>
      <c r="W41" s="10"/>
      <c r="X41" s="10"/>
      <c r="Y41" s="10"/>
      <c r="Z41" s="10"/>
      <c r="AA41" s="10"/>
      <c r="AD41" s="1" t="s">
        <v>10</v>
      </c>
      <c r="AE41">
        <v>20</v>
      </c>
      <c r="AF41">
        <v>49</v>
      </c>
      <c r="AG41">
        <v>113</v>
      </c>
      <c r="AH41">
        <v>87</v>
      </c>
      <c r="AI41">
        <v>31</v>
      </c>
      <c r="AJ41">
        <v>6</v>
      </c>
    </row>
    <row r="42" spans="1:36" ht="105" x14ac:dyDescent="0.25">
      <c r="A42" s="11" t="s">
        <v>14</v>
      </c>
      <c r="B42" s="11"/>
      <c r="C42" s="11"/>
      <c r="D42" s="11"/>
      <c r="E42" s="11"/>
      <c r="F42" s="11"/>
      <c r="G42" s="11"/>
      <c r="K42" s="1" t="s">
        <v>12</v>
      </c>
      <c r="L42">
        <v>2.58</v>
      </c>
      <c r="M42">
        <v>2.3610000000000002</v>
      </c>
      <c r="N42">
        <v>1.609</v>
      </c>
      <c r="O42">
        <v>0.98299999999999998</v>
      </c>
      <c r="P42">
        <v>0.91300000000000003</v>
      </c>
      <c r="Q42">
        <v>1.022</v>
      </c>
      <c r="U42" s="5"/>
      <c r="V42" s="1" t="s">
        <v>5</v>
      </c>
      <c r="W42" s="6" t="s">
        <v>6</v>
      </c>
      <c r="X42" s="1" t="s">
        <v>7</v>
      </c>
      <c r="Y42" s="6" t="s">
        <v>8</v>
      </c>
      <c r="Z42" s="1" t="s">
        <v>1</v>
      </c>
      <c r="AA42" s="1" t="s">
        <v>0</v>
      </c>
      <c r="AD42" s="1" t="s">
        <v>11</v>
      </c>
      <c r="AE42">
        <v>22</v>
      </c>
      <c r="AF42">
        <v>9</v>
      </c>
      <c r="AG42">
        <v>80</v>
      </c>
      <c r="AH42">
        <v>69</v>
      </c>
      <c r="AI42">
        <v>12</v>
      </c>
      <c r="AJ42">
        <v>15</v>
      </c>
    </row>
    <row r="43" spans="1:36" x14ac:dyDescent="0.25">
      <c r="A43" s="10" t="s">
        <v>4</v>
      </c>
      <c r="B43" s="10"/>
      <c r="C43" s="10"/>
      <c r="D43" s="10"/>
      <c r="E43" s="10"/>
      <c r="F43" s="10"/>
      <c r="G43" s="10"/>
      <c r="K43" s="1" t="s">
        <v>13</v>
      </c>
      <c r="L43">
        <v>2.2559999999999998</v>
      </c>
      <c r="M43">
        <v>2.4329999999999998</v>
      </c>
      <c r="N43">
        <v>1.518</v>
      </c>
      <c r="O43">
        <v>1.238</v>
      </c>
      <c r="P43">
        <v>0.80600000000000005</v>
      </c>
      <c r="Q43">
        <v>1.044</v>
      </c>
      <c r="U43" s="1" t="s">
        <v>9</v>
      </c>
      <c r="V43">
        <v>0</v>
      </c>
      <c r="W43">
        <v>0</v>
      </c>
      <c r="Z43">
        <v>1.0500000000000001E-2</v>
      </c>
      <c r="AA43">
        <v>1.5800000000000002E-2</v>
      </c>
      <c r="AD43" s="1" t="s">
        <v>12</v>
      </c>
      <c r="AE43">
        <v>62</v>
      </c>
      <c r="AF43">
        <v>75</v>
      </c>
      <c r="AG43">
        <v>83</v>
      </c>
      <c r="AH43">
        <v>62</v>
      </c>
      <c r="AI43">
        <v>20</v>
      </c>
      <c r="AJ43">
        <v>4</v>
      </c>
    </row>
    <row r="44" spans="1:36" ht="105" x14ac:dyDescent="0.25">
      <c r="A44" s="5"/>
      <c r="B44" s="1" t="s">
        <v>5</v>
      </c>
      <c r="C44" s="6" t="s">
        <v>6</v>
      </c>
      <c r="D44" s="1" t="s">
        <v>7</v>
      </c>
      <c r="E44" s="6" t="s">
        <v>8</v>
      </c>
      <c r="F44" s="1" t="s">
        <v>1</v>
      </c>
      <c r="G44" s="1" t="s">
        <v>0</v>
      </c>
      <c r="U44" s="1" t="s">
        <v>10</v>
      </c>
      <c r="V44">
        <v>0</v>
      </c>
      <c r="W44">
        <v>0</v>
      </c>
      <c r="Z44">
        <v>7.0000000000000001E-3</v>
      </c>
      <c r="AA44">
        <v>2.64E-2</v>
      </c>
      <c r="AD44" s="1" t="s">
        <v>13</v>
      </c>
      <c r="AE44">
        <v>48</v>
      </c>
      <c r="AF44">
        <v>32</v>
      </c>
      <c r="AG44">
        <v>94</v>
      </c>
      <c r="AH44">
        <v>65</v>
      </c>
      <c r="AI44">
        <v>15</v>
      </c>
      <c r="AJ44">
        <v>23</v>
      </c>
    </row>
    <row r="45" spans="1:36" x14ac:dyDescent="0.25">
      <c r="A45" s="1" t="s">
        <v>9</v>
      </c>
      <c r="B45">
        <v>2049</v>
      </c>
      <c r="C45">
        <v>2516</v>
      </c>
      <c r="D45">
        <v>2631</v>
      </c>
      <c r="E45">
        <v>2635</v>
      </c>
      <c r="F45">
        <v>1380</v>
      </c>
      <c r="G45">
        <v>1410</v>
      </c>
      <c r="U45" s="1" t="s">
        <v>11</v>
      </c>
      <c r="V45">
        <v>0</v>
      </c>
      <c r="W45">
        <v>0</v>
      </c>
      <c r="Z45">
        <v>1.4999999999999999E-2</v>
      </c>
      <c r="AA45">
        <v>3.3500000000000002E-2</v>
      </c>
    </row>
    <row r="46" spans="1:36" x14ac:dyDescent="0.25">
      <c r="A46" s="1" t="s">
        <v>10</v>
      </c>
      <c r="B46">
        <v>2497</v>
      </c>
      <c r="C46">
        <v>2442</v>
      </c>
      <c r="D46">
        <v>2822</v>
      </c>
      <c r="E46">
        <v>2769</v>
      </c>
      <c r="F46">
        <v>1477</v>
      </c>
      <c r="G46">
        <v>1282</v>
      </c>
      <c r="U46" s="1" t="s">
        <v>12</v>
      </c>
      <c r="V46">
        <v>0</v>
      </c>
      <c r="W46">
        <v>0</v>
      </c>
      <c r="Z46">
        <v>8.0000000000000002E-3</v>
      </c>
      <c r="AA46">
        <v>3.3000000000000002E-2</v>
      </c>
    </row>
    <row r="47" spans="1:36" x14ac:dyDescent="0.25">
      <c r="A47" s="1" t="s">
        <v>11</v>
      </c>
      <c r="B47">
        <v>2502</v>
      </c>
      <c r="C47">
        <v>2554</v>
      </c>
      <c r="D47">
        <v>2478</v>
      </c>
      <c r="E47">
        <v>2853</v>
      </c>
      <c r="F47">
        <v>1429</v>
      </c>
      <c r="G47">
        <v>1312</v>
      </c>
      <c r="U47" s="1" t="s">
        <v>13</v>
      </c>
      <c r="V47">
        <v>0</v>
      </c>
      <c r="W47">
        <v>0</v>
      </c>
      <c r="Z47">
        <v>8.0000000000000002E-3</v>
      </c>
      <c r="AA47">
        <v>3.1699999999999999E-2</v>
      </c>
    </row>
    <row r="48" spans="1:36" x14ac:dyDescent="0.25">
      <c r="A48" s="1" t="s">
        <v>12</v>
      </c>
      <c r="B48">
        <v>2488</v>
      </c>
      <c r="C48">
        <v>2281</v>
      </c>
      <c r="D48">
        <v>2499</v>
      </c>
      <c r="E48">
        <v>2790</v>
      </c>
      <c r="F48">
        <v>1391</v>
      </c>
      <c r="G48">
        <v>1274</v>
      </c>
      <c r="K48" s="11" t="s">
        <v>31</v>
      </c>
      <c r="L48" s="11"/>
      <c r="M48" s="11"/>
      <c r="N48" s="11"/>
      <c r="O48" s="11"/>
      <c r="P48" s="11"/>
      <c r="Q48" s="11"/>
    </row>
    <row r="49" spans="1:36" x14ac:dyDescent="0.25">
      <c r="A49" s="1" t="s">
        <v>13</v>
      </c>
      <c r="B49">
        <v>2385</v>
      </c>
      <c r="C49">
        <v>2508</v>
      </c>
      <c r="D49">
        <v>2660</v>
      </c>
      <c r="E49">
        <v>2812</v>
      </c>
      <c r="F49">
        <v>1455</v>
      </c>
      <c r="G49">
        <v>1378</v>
      </c>
      <c r="K49" s="13" t="s">
        <v>15</v>
      </c>
      <c r="L49" s="14"/>
      <c r="M49" s="14"/>
      <c r="N49" s="14"/>
      <c r="O49" s="14"/>
      <c r="P49" s="14"/>
      <c r="Q49" s="15"/>
      <c r="U49" s="16" t="s">
        <v>17</v>
      </c>
      <c r="V49" s="16"/>
      <c r="W49" s="16"/>
      <c r="AD49" s="11" t="s">
        <v>31</v>
      </c>
      <c r="AE49" s="11"/>
      <c r="AF49" s="11"/>
      <c r="AG49" s="11"/>
      <c r="AH49" s="11"/>
      <c r="AI49" s="11"/>
      <c r="AJ49" s="11"/>
    </row>
    <row r="50" spans="1:36" ht="31.5" customHeight="1" x14ac:dyDescent="0.25">
      <c r="K50" s="7"/>
      <c r="L50" s="1" t="s">
        <v>5</v>
      </c>
      <c r="M50" s="6" t="s">
        <v>6</v>
      </c>
      <c r="N50" s="1" t="s">
        <v>7</v>
      </c>
      <c r="O50" s="6" t="s">
        <v>8</v>
      </c>
      <c r="P50" s="1" t="s">
        <v>1</v>
      </c>
      <c r="Q50" s="1" t="s">
        <v>0</v>
      </c>
      <c r="V50" s="1" t="s">
        <v>0</v>
      </c>
      <c r="W50" s="1" t="s">
        <v>1</v>
      </c>
      <c r="AD50" s="13" t="s">
        <v>2</v>
      </c>
      <c r="AE50" s="14"/>
      <c r="AF50" s="14"/>
      <c r="AG50" s="14"/>
      <c r="AH50" s="14"/>
      <c r="AI50" s="14"/>
      <c r="AJ50" s="15"/>
    </row>
    <row r="51" spans="1:36" ht="105" x14ac:dyDescent="0.25">
      <c r="K51" s="1" t="s">
        <v>9</v>
      </c>
      <c r="L51">
        <v>2.1459999999999999</v>
      </c>
      <c r="M51">
        <v>1.9650000000000001</v>
      </c>
      <c r="N51">
        <v>1.58</v>
      </c>
      <c r="O51">
        <v>0.94799999999999995</v>
      </c>
      <c r="P51">
        <v>0.58199999999999996</v>
      </c>
      <c r="Q51">
        <v>0.71499999999999997</v>
      </c>
      <c r="U51" s="1" t="s">
        <v>9</v>
      </c>
      <c r="V51" s="4">
        <v>1.5879000000000001E-2</v>
      </c>
      <c r="W51" s="4">
        <v>1.059E-2</v>
      </c>
      <c r="AD51" s="7"/>
      <c r="AE51" s="1" t="s">
        <v>5</v>
      </c>
      <c r="AF51" s="6" t="s">
        <v>6</v>
      </c>
      <c r="AG51" s="1" t="s">
        <v>7</v>
      </c>
      <c r="AH51" s="6" t="s">
        <v>8</v>
      </c>
      <c r="AI51" s="1" t="s">
        <v>1</v>
      </c>
      <c r="AJ51" s="1" t="s">
        <v>0</v>
      </c>
    </row>
    <row r="52" spans="1:36" x14ac:dyDescent="0.25">
      <c r="K52" s="1" t="s">
        <v>10</v>
      </c>
      <c r="L52">
        <v>2.101</v>
      </c>
      <c r="M52">
        <v>2.1589999999999998</v>
      </c>
      <c r="N52">
        <v>1.6859999999999999</v>
      </c>
      <c r="O52">
        <v>0.93400000000000005</v>
      </c>
      <c r="P52">
        <v>0.60799999999999998</v>
      </c>
      <c r="Q52">
        <v>0.89600000000000002</v>
      </c>
      <c r="U52" s="1" t="s">
        <v>10</v>
      </c>
      <c r="V52" s="4">
        <v>2.647E-2</v>
      </c>
      <c r="W52" s="4">
        <v>7.0600000000000003E-3</v>
      </c>
      <c r="AD52" s="1" t="s">
        <v>9</v>
      </c>
      <c r="AE52">
        <v>23</v>
      </c>
      <c r="AF52">
        <v>14</v>
      </c>
      <c r="AG52">
        <v>105</v>
      </c>
      <c r="AH52">
        <v>34</v>
      </c>
      <c r="AI52">
        <v>26</v>
      </c>
      <c r="AJ52">
        <v>7</v>
      </c>
    </row>
    <row r="53" spans="1:36" x14ac:dyDescent="0.25">
      <c r="K53" s="1" t="s">
        <v>11</v>
      </c>
      <c r="L53">
        <v>2.0249999999999999</v>
      </c>
      <c r="M53">
        <v>2.0950000000000002</v>
      </c>
      <c r="N53">
        <v>1.633</v>
      </c>
      <c r="O53">
        <v>1.3680000000000001</v>
      </c>
      <c r="P53">
        <v>0.68700000000000006</v>
      </c>
      <c r="Q53">
        <v>0.80700000000000005</v>
      </c>
      <c r="U53" s="1" t="s">
        <v>11</v>
      </c>
      <c r="V53" s="4">
        <v>3.354E-2</v>
      </c>
      <c r="W53" s="4">
        <v>1.5890000000000001E-2</v>
      </c>
      <c r="AD53" s="1" t="s">
        <v>10</v>
      </c>
      <c r="AE53">
        <v>40</v>
      </c>
      <c r="AF53">
        <v>60</v>
      </c>
      <c r="AG53">
        <v>87</v>
      </c>
      <c r="AH53">
        <v>35</v>
      </c>
      <c r="AI53">
        <v>26</v>
      </c>
      <c r="AJ53">
        <v>4</v>
      </c>
    </row>
    <row r="54" spans="1:36" x14ac:dyDescent="0.25">
      <c r="C54" t="s">
        <v>3</v>
      </c>
      <c r="K54" s="1" t="s">
        <v>12</v>
      </c>
      <c r="L54">
        <v>2.11</v>
      </c>
      <c r="M54">
        <v>2.1669999999999998</v>
      </c>
      <c r="N54">
        <v>1.571</v>
      </c>
      <c r="O54">
        <v>1.1419999999999999</v>
      </c>
      <c r="P54">
        <v>0.68600000000000005</v>
      </c>
      <c r="Q54">
        <v>0.753</v>
      </c>
      <c r="U54" s="1" t="s">
        <v>12</v>
      </c>
      <c r="V54" s="4">
        <v>3.354E-2</v>
      </c>
      <c r="W54" s="4">
        <v>8.8299999999999993E-3</v>
      </c>
      <c r="AD54" s="1" t="s">
        <v>11</v>
      </c>
      <c r="AE54">
        <v>15</v>
      </c>
      <c r="AF54">
        <v>24</v>
      </c>
      <c r="AG54">
        <v>87</v>
      </c>
      <c r="AH54">
        <v>25</v>
      </c>
      <c r="AI54">
        <v>9</v>
      </c>
      <c r="AJ54">
        <v>18</v>
      </c>
    </row>
    <row r="55" spans="1:36" x14ac:dyDescent="0.25">
      <c r="A55" s="11" t="s">
        <v>31</v>
      </c>
      <c r="B55" s="11"/>
      <c r="C55" s="11"/>
      <c r="D55" s="11"/>
      <c r="E55" s="11"/>
      <c r="F55" s="11"/>
      <c r="G55" s="11"/>
      <c r="K55" s="1" t="s">
        <v>13</v>
      </c>
      <c r="L55">
        <v>2.3439999999999999</v>
      </c>
      <c r="M55">
        <v>2.7170000000000001</v>
      </c>
      <c r="N55">
        <v>1.649</v>
      </c>
      <c r="O55">
        <v>1.1000000000000001</v>
      </c>
      <c r="P55">
        <v>0.79800000000000004</v>
      </c>
      <c r="Q55">
        <v>0.83499999999999996</v>
      </c>
      <c r="U55" s="1" t="s">
        <v>13</v>
      </c>
      <c r="V55" s="4">
        <v>3.1780000000000003E-2</v>
      </c>
      <c r="W55" s="4">
        <v>8.8199999999999997E-3</v>
      </c>
      <c r="AD55" s="1" t="s">
        <v>12</v>
      </c>
      <c r="AE55">
        <v>10</v>
      </c>
      <c r="AF55">
        <v>1</v>
      </c>
      <c r="AG55">
        <v>113</v>
      </c>
      <c r="AH55">
        <v>25</v>
      </c>
      <c r="AI55">
        <v>19</v>
      </c>
      <c r="AJ55">
        <v>9</v>
      </c>
    </row>
    <row r="56" spans="1:36" x14ac:dyDescent="0.25">
      <c r="A56" s="10" t="s">
        <v>4</v>
      </c>
      <c r="B56" s="10"/>
      <c r="C56" s="10"/>
      <c r="D56" s="10"/>
      <c r="E56" s="10"/>
      <c r="F56" s="10"/>
      <c r="G56" s="10"/>
      <c r="AD56" s="1" t="s">
        <v>13</v>
      </c>
      <c r="AE56">
        <v>19</v>
      </c>
      <c r="AF56">
        <v>41</v>
      </c>
      <c r="AG56">
        <v>72</v>
      </c>
      <c r="AH56">
        <v>30</v>
      </c>
      <c r="AI56">
        <v>27</v>
      </c>
      <c r="AJ56">
        <v>4</v>
      </c>
    </row>
    <row r="57" spans="1:36" ht="105" x14ac:dyDescent="0.25">
      <c r="A57" s="5"/>
      <c r="B57" s="1" t="s">
        <v>5</v>
      </c>
      <c r="C57" s="6" t="s">
        <v>6</v>
      </c>
      <c r="D57" s="1" t="s">
        <v>7</v>
      </c>
      <c r="E57" s="6" t="s">
        <v>8</v>
      </c>
      <c r="F57" s="1" t="s">
        <v>1</v>
      </c>
      <c r="G57" s="1" t="s">
        <v>0</v>
      </c>
    </row>
    <row r="58" spans="1:36" x14ac:dyDescent="0.25">
      <c r="A58" s="1" t="s">
        <v>9</v>
      </c>
      <c r="B58">
        <v>1795</v>
      </c>
      <c r="C58">
        <v>1760</v>
      </c>
      <c r="D58">
        <v>2489</v>
      </c>
      <c r="E58">
        <v>2020</v>
      </c>
      <c r="F58">
        <v>1502</v>
      </c>
      <c r="G58">
        <v>1265</v>
      </c>
    </row>
    <row r="59" spans="1:36" x14ac:dyDescent="0.25">
      <c r="A59" s="1" t="s">
        <v>10</v>
      </c>
      <c r="B59">
        <v>1545</v>
      </c>
      <c r="C59">
        <v>1250</v>
      </c>
      <c r="D59">
        <v>2485</v>
      </c>
      <c r="E59">
        <v>2013</v>
      </c>
      <c r="F59">
        <v>1461</v>
      </c>
      <c r="G59">
        <v>1279</v>
      </c>
      <c r="U59" s="11" t="s">
        <v>14</v>
      </c>
      <c r="V59" s="11"/>
      <c r="W59" s="11"/>
      <c r="X59" s="11"/>
      <c r="Y59" s="11"/>
      <c r="Z59" s="11"/>
      <c r="AA59" s="11"/>
    </row>
    <row r="60" spans="1:36" x14ac:dyDescent="0.25">
      <c r="A60" s="1" t="s">
        <v>11</v>
      </c>
      <c r="B60">
        <v>1524</v>
      </c>
      <c r="C60">
        <v>1457</v>
      </c>
      <c r="D60">
        <v>2516</v>
      </c>
      <c r="E60">
        <v>1867</v>
      </c>
      <c r="F60">
        <v>1531</v>
      </c>
      <c r="G60">
        <v>1325</v>
      </c>
      <c r="K60" s="12" t="s">
        <v>23</v>
      </c>
      <c r="L60" s="12"/>
      <c r="M60" s="12"/>
      <c r="N60" s="12"/>
      <c r="O60" s="12"/>
      <c r="P60" s="12"/>
      <c r="Q60" s="12"/>
      <c r="U60" s="10" t="s">
        <v>16</v>
      </c>
      <c r="V60" s="10"/>
      <c r="W60" s="10"/>
      <c r="X60" s="10"/>
      <c r="Y60" s="10"/>
      <c r="Z60" s="10"/>
      <c r="AA60" s="10"/>
      <c r="AD60" s="12" t="s">
        <v>23</v>
      </c>
      <c r="AE60" s="12"/>
      <c r="AF60" s="12"/>
      <c r="AG60" s="12"/>
      <c r="AH60" s="12"/>
      <c r="AI60" s="12"/>
      <c r="AJ60" s="12"/>
    </row>
    <row r="61" spans="1:36" ht="28.5" customHeight="1" x14ac:dyDescent="0.25">
      <c r="A61" s="1" t="s">
        <v>12</v>
      </c>
      <c r="B61">
        <v>1606</v>
      </c>
      <c r="C61">
        <v>1864</v>
      </c>
      <c r="D61">
        <v>2574</v>
      </c>
      <c r="E61">
        <v>1965</v>
      </c>
      <c r="F61">
        <v>1462</v>
      </c>
      <c r="G61">
        <v>1333</v>
      </c>
      <c r="K61" s="5"/>
      <c r="L61" s="1" t="s">
        <v>5</v>
      </c>
      <c r="M61" s="6" t="s">
        <v>6</v>
      </c>
      <c r="N61" s="1" t="s">
        <v>7</v>
      </c>
      <c r="O61" s="6" t="s">
        <v>8</v>
      </c>
      <c r="P61" s="1" t="s">
        <v>1</v>
      </c>
      <c r="Q61" s="1" t="s">
        <v>0</v>
      </c>
      <c r="U61" s="5"/>
      <c r="V61" s="1" t="s">
        <v>5</v>
      </c>
      <c r="W61" s="6" t="s">
        <v>6</v>
      </c>
      <c r="X61" s="1" t="s">
        <v>7</v>
      </c>
      <c r="Y61" s="6" t="s">
        <v>8</v>
      </c>
      <c r="Z61" s="1" t="s">
        <v>1</v>
      </c>
      <c r="AA61" s="1" t="s">
        <v>0</v>
      </c>
      <c r="AD61" s="13" t="s">
        <v>2</v>
      </c>
      <c r="AE61" s="14"/>
      <c r="AF61" s="14"/>
      <c r="AG61" s="14"/>
      <c r="AH61" s="14"/>
      <c r="AI61" s="14"/>
      <c r="AJ61" s="15"/>
    </row>
    <row r="62" spans="1:36" ht="105" x14ac:dyDescent="0.25">
      <c r="A62" s="1" t="s">
        <v>13</v>
      </c>
      <c r="B62">
        <v>1686</v>
      </c>
      <c r="C62">
        <v>1329</v>
      </c>
      <c r="D62">
        <v>2580</v>
      </c>
      <c r="E62">
        <v>1677</v>
      </c>
      <c r="F62">
        <v>1517</v>
      </c>
      <c r="G62">
        <v>1277</v>
      </c>
      <c r="K62" s="2">
        <v>0.7</v>
      </c>
      <c r="L62">
        <f t="shared" ref="L62:Q62" si="0">AVERAGE(L5:L9)</f>
        <v>2.5342000000000002</v>
      </c>
      <c r="M62">
        <f t="shared" si="0"/>
        <v>2.6914000000000002</v>
      </c>
      <c r="N62">
        <f t="shared" si="0"/>
        <v>0.55779999999999996</v>
      </c>
      <c r="O62">
        <f t="shared" si="0"/>
        <v>0.2492</v>
      </c>
      <c r="P62">
        <f t="shared" si="0"/>
        <v>0.72819999999999996</v>
      </c>
      <c r="Q62">
        <f t="shared" si="0"/>
        <v>1.0054000000000003</v>
      </c>
      <c r="U62" s="1" t="s">
        <v>9</v>
      </c>
      <c r="V62">
        <v>0</v>
      </c>
      <c r="W62">
        <v>0</v>
      </c>
      <c r="X62">
        <v>0.14649999999999999</v>
      </c>
      <c r="Y62">
        <v>0</v>
      </c>
      <c r="Z62">
        <v>0.34899999999999998</v>
      </c>
      <c r="AA62">
        <v>0.33889999999999998</v>
      </c>
      <c r="AD62" s="9"/>
      <c r="AE62" s="1" t="s">
        <v>5</v>
      </c>
      <c r="AF62" s="6" t="s">
        <v>6</v>
      </c>
      <c r="AG62" s="1" t="s">
        <v>7</v>
      </c>
      <c r="AH62" s="6" t="s">
        <v>8</v>
      </c>
      <c r="AI62" s="1" t="s">
        <v>1</v>
      </c>
      <c r="AJ62" s="1" t="s">
        <v>0</v>
      </c>
    </row>
    <row r="63" spans="1:36" x14ac:dyDescent="0.25">
      <c r="K63" s="3">
        <v>0.3</v>
      </c>
      <c r="L63">
        <f t="shared" ref="L63:Q63" si="1">AVERAGE(L17:L21)</f>
        <v>2.4666000000000001</v>
      </c>
      <c r="M63">
        <f t="shared" si="1"/>
        <v>2.5458000000000003</v>
      </c>
      <c r="N63">
        <f t="shared" si="1"/>
        <v>0.4556</v>
      </c>
      <c r="O63">
        <f t="shared" si="1"/>
        <v>0.2752</v>
      </c>
      <c r="P63">
        <f t="shared" si="1"/>
        <v>0.66220000000000001</v>
      </c>
      <c r="Q63">
        <f t="shared" si="1"/>
        <v>1.2742</v>
      </c>
      <c r="U63" s="1" t="s">
        <v>10</v>
      </c>
      <c r="V63">
        <v>0</v>
      </c>
      <c r="W63">
        <v>0</v>
      </c>
      <c r="X63">
        <v>0.11799999999999999</v>
      </c>
      <c r="Z63">
        <v>0.33800000000000002</v>
      </c>
      <c r="AA63">
        <v>0.32800000000000001</v>
      </c>
      <c r="AD63" s="2">
        <v>0.7</v>
      </c>
      <c r="AE63">
        <f>AVERAGE(AE5:AE9)</f>
        <v>50.4</v>
      </c>
      <c r="AF63">
        <f>AVERAGE(AF5:AF9)</f>
        <v>32</v>
      </c>
      <c r="AG63">
        <f>AVERAGE(AG5:AG9)</f>
        <v>63.2</v>
      </c>
      <c r="AH63">
        <f t="shared" ref="AH63:AJ63" si="2">AVERAGE(AH5:AH9)</f>
        <v>63.2</v>
      </c>
      <c r="AI63">
        <f t="shared" si="2"/>
        <v>22.4</v>
      </c>
      <c r="AJ63">
        <f t="shared" si="2"/>
        <v>8.8000000000000007</v>
      </c>
    </row>
    <row r="64" spans="1:36" x14ac:dyDescent="0.25">
      <c r="K64" s="3">
        <v>0</v>
      </c>
      <c r="L64">
        <f t="shared" ref="L64:Q64" si="3">AVERAGE(L28:L32)</f>
        <v>2.5009999999999999</v>
      </c>
      <c r="M64">
        <f t="shared" si="3"/>
        <v>2.2432000000000003</v>
      </c>
      <c r="N64">
        <f t="shared" si="3"/>
        <v>0.42199999999999999</v>
      </c>
      <c r="O64">
        <f t="shared" si="3"/>
        <v>0.25</v>
      </c>
      <c r="P64">
        <f t="shared" si="3"/>
        <v>0.61419999999999997</v>
      </c>
      <c r="Q64">
        <f t="shared" si="3"/>
        <v>0.84139999999999993</v>
      </c>
      <c r="U64" s="1" t="s">
        <v>11</v>
      </c>
      <c r="V64">
        <v>0</v>
      </c>
      <c r="W64">
        <v>0</v>
      </c>
      <c r="X64">
        <v>0.16900000000000001</v>
      </c>
      <c r="Z64">
        <v>0.33800000000000002</v>
      </c>
      <c r="AA64">
        <v>0.35599999999999998</v>
      </c>
      <c r="AD64" s="3">
        <v>0.3</v>
      </c>
      <c r="AE64">
        <f>AVERAGE(AE17:AE21)</f>
        <v>19.399999999999999</v>
      </c>
      <c r="AF64">
        <f>AVERAGE(AF17:AF21)</f>
        <v>64.400000000000006</v>
      </c>
      <c r="AG64">
        <f t="shared" ref="AG64:AJ64" si="4">AVERAGE(AG17:AG21)</f>
        <v>76.599999999999994</v>
      </c>
      <c r="AH64">
        <f t="shared" si="4"/>
        <v>85</v>
      </c>
      <c r="AI64">
        <f t="shared" si="4"/>
        <v>25.6</v>
      </c>
      <c r="AJ64">
        <f t="shared" si="4"/>
        <v>6.6</v>
      </c>
    </row>
    <row r="65" spans="1:36" x14ac:dyDescent="0.25">
      <c r="K65" s="3">
        <v>-0.3</v>
      </c>
      <c r="L65">
        <f t="shared" ref="L65:Q65" si="5">AVERAGE(L39:L43)</f>
        <v>2.4625999999999997</v>
      </c>
      <c r="M65">
        <f t="shared" si="5"/>
        <v>2.2627999999999999</v>
      </c>
      <c r="N65">
        <f t="shared" si="5"/>
        <v>1.5432000000000001</v>
      </c>
      <c r="O65">
        <f t="shared" si="5"/>
        <v>1.1801999999999999</v>
      </c>
      <c r="P65">
        <f t="shared" si="5"/>
        <v>0.76419999999999999</v>
      </c>
      <c r="Q65">
        <f t="shared" si="5"/>
        <v>0.95979999999999988</v>
      </c>
      <c r="U65" s="1" t="s">
        <v>12</v>
      </c>
      <c r="V65">
        <v>0</v>
      </c>
      <c r="W65">
        <v>0</v>
      </c>
      <c r="X65">
        <v>0.185</v>
      </c>
      <c r="Z65">
        <v>0.34770000000000001</v>
      </c>
      <c r="AA65">
        <v>0.33800000000000002</v>
      </c>
      <c r="AD65" s="3">
        <v>0</v>
      </c>
      <c r="AE65">
        <f>AVERAGE(AE28:AE32)</f>
        <v>8</v>
      </c>
      <c r="AF65">
        <f t="shared" ref="AF65:AJ65" si="6">AVERAGE(AF28:AF32)</f>
        <v>5.8</v>
      </c>
      <c r="AG65">
        <f t="shared" si="6"/>
        <v>99</v>
      </c>
      <c r="AH65">
        <f t="shared" si="6"/>
        <v>89.8</v>
      </c>
      <c r="AI65">
        <f t="shared" si="6"/>
        <v>19</v>
      </c>
      <c r="AJ65">
        <f t="shared" si="6"/>
        <v>10.199999999999999</v>
      </c>
    </row>
    <row r="66" spans="1:36" x14ac:dyDescent="0.25">
      <c r="K66" s="3">
        <v>-0.7</v>
      </c>
      <c r="L66">
        <f t="shared" ref="L66:Q66" si="7">AVERAGE(L51:L55)</f>
        <v>2.1452</v>
      </c>
      <c r="M66">
        <f t="shared" si="7"/>
        <v>2.2206000000000001</v>
      </c>
      <c r="N66">
        <f t="shared" si="7"/>
        <v>1.6237999999999999</v>
      </c>
      <c r="O66">
        <f t="shared" si="7"/>
        <v>1.0983999999999998</v>
      </c>
      <c r="P66">
        <f t="shared" si="7"/>
        <v>0.67220000000000002</v>
      </c>
      <c r="Q66">
        <f t="shared" si="7"/>
        <v>0.80120000000000002</v>
      </c>
      <c r="U66" s="1" t="s">
        <v>13</v>
      </c>
      <c r="V66">
        <v>0</v>
      </c>
      <c r="W66">
        <v>0</v>
      </c>
      <c r="X66">
        <v>0.17649999999999999</v>
      </c>
      <c r="Z66">
        <v>0.34770000000000001</v>
      </c>
      <c r="AA66">
        <v>0.33300000000000002</v>
      </c>
      <c r="AD66" s="3">
        <v>-0.3</v>
      </c>
      <c r="AE66">
        <f>AVERAGE(AE40:AE44)</f>
        <v>49.6</v>
      </c>
      <c r="AF66">
        <f t="shared" ref="AF66:AJ66" si="8">AVERAGE(AF40:AF44)</f>
        <v>42.4</v>
      </c>
      <c r="AG66">
        <f t="shared" si="8"/>
        <v>92.2</v>
      </c>
      <c r="AH66">
        <f t="shared" si="8"/>
        <v>70.599999999999994</v>
      </c>
      <c r="AI66">
        <f t="shared" si="8"/>
        <v>20.2</v>
      </c>
      <c r="AJ66">
        <f t="shared" si="8"/>
        <v>11.4</v>
      </c>
    </row>
    <row r="67" spans="1:36" x14ac:dyDescent="0.25">
      <c r="AD67" s="3">
        <v>-0.7</v>
      </c>
      <c r="AE67">
        <f t="shared" ref="AE67:AJ67" si="9">AVERAGE(AE52:AE56)</f>
        <v>21.4</v>
      </c>
      <c r="AF67">
        <f t="shared" si="9"/>
        <v>28</v>
      </c>
      <c r="AG67">
        <f t="shared" si="9"/>
        <v>92.8</v>
      </c>
      <c r="AH67">
        <f t="shared" si="9"/>
        <v>29.8</v>
      </c>
      <c r="AI67">
        <f t="shared" si="9"/>
        <v>21.4</v>
      </c>
      <c r="AJ67">
        <f t="shared" si="9"/>
        <v>8.4</v>
      </c>
    </row>
    <row r="68" spans="1:36" x14ac:dyDescent="0.25">
      <c r="U68" s="16" t="s">
        <v>17</v>
      </c>
      <c r="V68" s="16"/>
      <c r="W68" s="16"/>
    </row>
    <row r="69" spans="1:36" x14ac:dyDescent="0.25">
      <c r="V69" s="1" t="s">
        <v>0</v>
      </c>
      <c r="W69" s="1" t="s">
        <v>1</v>
      </c>
      <c r="X69" s="1" t="s">
        <v>7</v>
      </c>
    </row>
    <row r="70" spans="1:36" x14ac:dyDescent="0.25">
      <c r="U70" s="1" t="s">
        <v>9</v>
      </c>
      <c r="V70" s="4">
        <v>0.401223</v>
      </c>
      <c r="W70" s="4">
        <v>0.40822000000000003</v>
      </c>
      <c r="X70" s="4">
        <v>0.17582999999999999</v>
      </c>
    </row>
    <row r="71" spans="1:36" x14ac:dyDescent="0.25">
      <c r="U71" s="1" t="s">
        <v>10</v>
      </c>
      <c r="V71" s="4">
        <v>0.37924000000000002</v>
      </c>
      <c r="W71" s="4">
        <v>0.39533000000000001</v>
      </c>
      <c r="X71" s="4">
        <v>0.14113999999999999</v>
      </c>
    </row>
    <row r="72" spans="1:36" x14ac:dyDescent="0.25">
      <c r="A72" s="12" t="s">
        <v>23</v>
      </c>
      <c r="B72" s="12"/>
      <c r="C72" s="12"/>
      <c r="D72" s="12"/>
      <c r="E72" s="12"/>
      <c r="F72" s="12"/>
      <c r="G72" s="12"/>
      <c r="U72" s="1" t="s">
        <v>11</v>
      </c>
      <c r="V72" s="4">
        <v>0.41816399999999998</v>
      </c>
      <c r="W72" s="4">
        <v>0.39556999999999998</v>
      </c>
      <c r="X72" s="4">
        <v>0.20710000000000001</v>
      </c>
    </row>
    <row r="73" spans="1:36" ht="105" x14ac:dyDescent="0.25">
      <c r="A73" s="5"/>
      <c r="B73" s="1" t="s">
        <v>5</v>
      </c>
      <c r="C73" s="6" t="s">
        <v>6</v>
      </c>
      <c r="D73" s="1" t="s">
        <v>7</v>
      </c>
      <c r="E73" s="6" t="s">
        <v>8</v>
      </c>
      <c r="F73" s="1" t="s">
        <v>1</v>
      </c>
      <c r="G73" s="1" t="s">
        <v>0</v>
      </c>
      <c r="U73" s="1" t="s">
        <v>12</v>
      </c>
      <c r="V73" s="4">
        <v>0.39973999999999998</v>
      </c>
      <c r="W73" s="4">
        <v>0.40504000000000001</v>
      </c>
      <c r="X73" s="4">
        <v>0.22338</v>
      </c>
    </row>
    <row r="74" spans="1:36" x14ac:dyDescent="0.25">
      <c r="A74" s="2">
        <v>0.7</v>
      </c>
      <c r="B74">
        <f t="shared" ref="B74:G74" si="10">AVERAGE(B6:B10)</f>
        <v>2494.8000000000002</v>
      </c>
      <c r="C74">
        <f t="shared" si="10"/>
        <v>2519.8000000000002</v>
      </c>
      <c r="D74">
        <f t="shared" si="10"/>
        <v>2721.8</v>
      </c>
      <c r="E74">
        <f t="shared" si="10"/>
        <v>2698</v>
      </c>
      <c r="F74">
        <f t="shared" si="10"/>
        <v>1486</v>
      </c>
      <c r="G74">
        <f t="shared" si="10"/>
        <v>1319.6</v>
      </c>
      <c r="U74" s="1" t="s">
        <v>13</v>
      </c>
      <c r="V74" s="4">
        <v>0.38652999999999998</v>
      </c>
      <c r="W74" s="4">
        <v>0.40455600000000003</v>
      </c>
      <c r="X74" s="4">
        <v>0.21440000000000001</v>
      </c>
    </row>
    <row r="75" spans="1:36" x14ac:dyDescent="0.25">
      <c r="A75" s="3">
        <v>0.3</v>
      </c>
      <c r="B75">
        <f t="shared" ref="B75:G75" si="11">AVERAGE(B19:B23)</f>
        <v>2654.4</v>
      </c>
      <c r="C75">
        <f t="shared" si="11"/>
        <v>2677.4</v>
      </c>
      <c r="D75">
        <f t="shared" si="11"/>
        <v>2864.4</v>
      </c>
      <c r="E75">
        <f t="shared" si="11"/>
        <v>2882.2</v>
      </c>
      <c r="F75">
        <f t="shared" si="11"/>
        <v>1482.6</v>
      </c>
      <c r="G75">
        <f t="shared" si="11"/>
        <v>1321.8</v>
      </c>
    </row>
    <row r="76" spans="1:36" x14ac:dyDescent="0.25">
      <c r="A76" s="3">
        <v>0</v>
      </c>
      <c r="B76">
        <f t="shared" ref="B76:G76" si="12">AVERAGE(B32:B36)</f>
        <v>2695</v>
      </c>
      <c r="C76">
        <f t="shared" si="12"/>
        <v>2700.8</v>
      </c>
      <c r="D76">
        <f t="shared" si="12"/>
        <v>2814.4</v>
      </c>
      <c r="E76">
        <f t="shared" si="12"/>
        <v>2823</v>
      </c>
      <c r="F76">
        <f t="shared" si="12"/>
        <v>1445.8</v>
      </c>
      <c r="G76">
        <f t="shared" si="12"/>
        <v>1342</v>
      </c>
    </row>
    <row r="77" spans="1:36" x14ac:dyDescent="0.25">
      <c r="A77" s="3">
        <v>-0.3</v>
      </c>
      <c r="B77">
        <f t="shared" ref="B77:G77" si="13">AVERAGE(B45:B49)</f>
        <v>2384.1999999999998</v>
      </c>
      <c r="C77">
        <f t="shared" si="13"/>
        <v>2460.1999999999998</v>
      </c>
      <c r="D77">
        <f t="shared" si="13"/>
        <v>2618</v>
      </c>
      <c r="E77">
        <f t="shared" si="13"/>
        <v>2771.8</v>
      </c>
      <c r="F77">
        <f t="shared" si="13"/>
        <v>1426.4</v>
      </c>
      <c r="G77">
        <f t="shared" si="13"/>
        <v>1331.2</v>
      </c>
    </row>
    <row r="78" spans="1:36" x14ac:dyDescent="0.25">
      <c r="A78" s="3">
        <v>-0.7</v>
      </c>
      <c r="B78">
        <f t="shared" ref="B78:G78" si="14">AVERAGE(B58:B62)</f>
        <v>1631.2</v>
      </c>
      <c r="C78">
        <f t="shared" si="14"/>
        <v>1532</v>
      </c>
      <c r="D78">
        <f t="shared" si="14"/>
        <v>2528.8000000000002</v>
      </c>
      <c r="E78">
        <f t="shared" si="14"/>
        <v>1908.4</v>
      </c>
      <c r="F78">
        <f t="shared" si="14"/>
        <v>1494.6</v>
      </c>
      <c r="G78">
        <f t="shared" si="14"/>
        <v>1295.8</v>
      </c>
      <c r="U78" s="11" t="s">
        <v>31</v>
      </c>
      <c r="V78" s="11"/>
      <c r="W78" s="11"/>
      <c r="X78" s="11"/>
      <c r="Y78" s="11"/>
      <c r="Z78" s="11"/>
      <c r="AA78" s="11"/>
    </row>
    <row r="79" spans="1:36" x14ac:dyDescent="0.25">
      <c r="U79" s="10" t="s">
        <v>16</v>
      </c>
      <c r="V79" s="10"/>
      <c r="W79" s="10"/>
      <c r="X79" s="10"/>
      <c r="Y79" s="10"/>
      <c r="Z79" s="10"/>
      <c r="AA79" s="10"/>
    </row>
    <row r="80" spans="1:36" ht="105" x14ac:dyDescent="0.25">
      <c r="U80" s="5"/>
      <c r="V80" s="1" t="s">
        <v>5</v>
      </c>
      <c r="W80" s="6" t="s">
        <v>6</v>
      </c>
      <c r="X80" s="1" t="s">
        <v>7</v>
      </c>
      <c r="Y80" s="6" t="s">
        <v>8</v>
      </c>
      <c r="Z80" s="1" t="s">
        <v>1</v>
      </c>
      <c r="AA80" s="1" t="s">
        <v>0</v>
      </c>
    </row>
    <row r="81" spans="21:27" x14ac:dyDescent="0.25">
      <c r="U81" s="1" t="s">
        <v>9</v>
      </c>
      <c r="V81">
        <v>0</v>
      </c>
      <c r="W81">
        <v>0</v>
      </c>
      <c r="X81">
        <v>0.65600000000000003</v>
      </c>
      <c r="Y81">
        <v>0</v>
      </c>
      <c r="Z81">
        <v>0.9</v>
      </c>
      <c r="AA81">
        <v>0.89600000000000002</v>
      </c>
    </row>
    <row r="82" spans="21:27" x14ac:dyDescent="0.25">
      <c r="U82" s="1" t="s">
        <v>10</v>
      </c>
      <c r="V82">
        <v>0</v>
      </c>
      <c r="W82">
        <v>0</v>
      </c>
      <c r="X82">
        <v>0.63100000000000001</v>
      </c>
      <c r="Y82">
        <v>0</v>
      </c>
      <c r="Z82">
        <v>0.90900000000000003</v>
      </c>
      <c r="AA82">
        <v>0.89600000000000002</v>
      </c>
    </row>
    <row r="83" spans="21:27" x14ac:dyDescent="0.25">
      <c r="U83" s="1" t="s">
        <v>11</v>
      </c>
      <c r="V83">
        <v>0</v>
      </c>
      <c r="W83">
        <v>0</v>
      </c>
      <c r="X83">
        <v>0.63300000000000001</v>
      </c>
      <c r="Y83">
        <v>0</v>
      </c>
      <c r="Z83">
        <v>0.90700000000000003</v>
      </c>
      <c r="AA83">
        <v>0.89600000000000002</v>
      </c>
    </row>
    <row r="84" spans="21:27" x14ac:dyDescent="0.25">
      <c r="U84" s="1" t="s">
        <v>12</v>
      </c>
      <c r="V84">
        <v>0</v>
      </c>
      <c r="W84">
        <v>0</v>
      </c>
      <c r="X84">
        <v>0.63300000000000001</v>
      </c>
      <c r="Y84">
        <v>0</v>
      </c>
      <c r="Z84">
        <v>0.89600000000000002</v>
      </c>
      <c r="AA84">
        <v>0.89600000000000002</v>
      </c>
    </row>
    <row r="85" spans="21:27" x14ac:dyDescent="0.25">
      <c r="U85" s="1" t="s">
        <v>13</v>
      </c>
      <c r="V85">
        <v>0</v>
      </c>
      <c r="W85">
        <v>0</v>
      </c>
      <c r="X85">
        <v>0.67200000000000004</v>
      </c>
      <c r="Y85">
        <v>0</v>
      </c>
      <c r="Z85">
        <v>0.90500000000000003</v>
      </c>
      <c r="AA85">
        <v>0.90200000000000002</v>
      </c>
    </row>
    <row r="87" spans="21:27" x14ac:dyDescent="0.25">
      <c r="U87" s="16" t="s">
        <v>17</v>
      </c>
      <c r="V87" s="16"/>
      <c r="W87" s="16"/>
    </row>
    <row r="88" spans="21:27" x14ac:dyDescent="0.25">
      <c r="V88" s="1" t="s">
        <v>0</v>
      </c>
      <c r="W88" s="1" t="s">
        <v>1</v>
      </c>
      <c r="X88" s="1" t="s">
        <v>7</v>
      </c>
    </row>
    <row r="89" spans="21:27" x14ac:dyDescent="0.25">
      <c r="U89" s="1" t="s">
        <v>9</v>
      </c>
      <c r="V89" s="4">
        <v>3.8670599999999999</v>
      </c>
      <c r="W89" s="4">
        <v>3.8479199999999998</v>
      </c>
      <c r="X89" s="4">
        <v>4.0571599999999997</v>
      </c>
    </row>
    <row r="90" spans="21:27" x14ac:dyDescent="0.25">
      <c r="U90" s="1" t="s">
        <v>10</v>
      </c>
      <c r="V90" s="4">
        <v>3.8822399999999999</v>
      </c>
      <c r="W90" s="4">
        <v>3.8984169999999998</v>
      </c>
      <c r="X90" s="4">
        <v>3.8090700000000002</v>
      </c>
    </row>
    <row r="91" spans="21:27" x14ac:dyDescent="0.25">
      <c r="U91" s="1" t="s">
        <v>11</v>
      </c>
      <c r="V91" s="4">
        <v>3.9763700000000002</v>
      </c>
      <c r="W91" s="4">
        <v>3.8922020000000002</v>
      </c>
      <c r="X91" s="4">
        <v>3.7821400000000001</v>
      </c>
    </row>
    <row r="92" spans="21:27" x14ac:dyDescent="0.25">
      <c r="U92" s="1" t="s">
        <v>12</v>
      </c>
      <c r="V92" s="4">
        <v>3.6770299999999998</v>
      </c>
      <c r="W92" s="4">
        <v>3.8354900000000001</v>
      </c>
      <c r="X92" s="4">
        <v>3.6975199999999999</v>
      </c>
    </row>
    <row r="93" spans="21:27" x14ac:dyDescent="0.25">
      <c r="U93" s="1" t="s">
        <v>13</v>
      </c>
      <c r="V93" s="4">
        <v>3.7770199999999998</v>
      </c>
      <c r="W93" s="4">
        <v>3.8702030000000001</v>
      </c>
      <c r="X93" s="4">
        <v>4.0382999999999996</v>
      </c>
    </row>
    <row r="99" spans="21:27" x14ac:dyDescent="0.25">
      <c r="U99" s="12" t="s">
        <v>23</v>
      </c>
      <c r="V99" s="12"/>
      <c r="W99" s="12"/>
      <c r="X99" s="12"/>
      <c r="Y99" s="12"/>
      <c r="Z99" s="12"/>
      <c r="AA99" s="12"/>
    </row>
    <row r="100" spans="21:27" x14ac:dyDescent="0.25">
      <c r="U100" s="10" t="s">
        <v>16</v>
      </c>
      <c r="V100" s="10"/>
      <c r="W100" s="10"/>
      <c r="X100" s="10"/>
      <c r="Y100" s="10"/>
      <c r="Z100" s="10"/>
      <c r="AA100" s="10"/>
    </row>
    <row r="101" spans="21:27" x14ac:dyDescent="0.25">
      <c r="U101" s="9"/>
      <c r="V101" s="1" t="s">
        <v>1</v>
      </c>
      <c r="W101" s="1" t="s">
        <v>0</v>
      </c>
    </row>
    <row r="102" spans="21:27" x14ac:dyDescent="0.25">
      <c r="U102" s="2">
        <v>0.7</v>
      </c>
      <c r="V102">
        <f>AVERAGE(Z4:Z8)</f>
        <v>0.49180000000000001</v>
      </c>
      <c r="W102">
        <f>AVERAGE(AA4:AA8)</f>
        <v>0.48280000000000001</v>
      </c>
    </row>
    <row r="103" spans="21:27" x14ac:dyDescent="0.25">
      <c r="U103" s="3">
        <v>0.3</v>
      </c>
      <c r="V103">
        <f>AVERAGE(Z24:Z28)</f>
        <v>0.26040000000000002</v>
      </c>
      <c r="W103">
        <f>AVERAGE(AA24:AA28)</f>
        <v>0.26240000000000008</v>
      </c>
    </row>
    <row r="104" spans="21:27" x14ac:dyDescent="0.25">
      <c r="U104" s="3">
        <v>0</v>
      </c>
      <c r="V104">
        <f>AVERAGE(Z43:Z47)</f>
        <v>9.7000000000000003E-3</v>
      </c>
      <c r="W104">
        <f>AVERAGE(AA43:AA47)</f>
        <v>2.8080000000000001E-2</v>
      </c>
    </row>
    <row r="105" spans="21:27" x14ac:dyDescent="0.25">
      <c r="U105" s="3">
        <v>-0.3</v>
      </c>
      <c r="V105">
        <f>AVERAGE(Z62:Z66)</f>
        <v>0.34408000000000005</v>
      </c>
      <c r="W105">
        <f>AVERAGE(AA62:AA66)</f>
        <v>0.33877999999999997</v>
      </c>
    </row>
    <row r="106" spans="21:27" x14ac:dyDescent="0.25">
      <c r="U106" s="3">
        <v>-0.7</v>
      </c>
      <c r="V106">
        <f>AVERAGE(Z81:Z85)</f>
        <v>0.90340000000000009</v>
      </c>
      <c r="W106">
        <f>AVERAGE(AA81:AA85)</f>
        <v>0.8972</v>
      </c>
    </row>
    <row r="110" spans="21:27" x14ac:dyDescent="0.25">
      <c r="U110" s="19" t="s">
        <v>17</v>
      </c>
      <c r="V110" s="19"/>
      <c r="W110" s="19"/>
    </row>
    <row r="111" spans="21:27" ht="75" x14ac:dyDescent="0.25">
      <c r="V111" s="1" t="s">
        <v>0</v>
      </c>
      <c r="W111" s="1" t="s">
        <v>1</v>
      </c>
      <c r="X111" s="6" t="s">
        <v>7</v>
      </c>
    </row>
    <row r="112" spans="21:27" x14ac:dyDescent="0.25">
      <c r="U112" s="2">
        <v>0.7</v>
      </c>
      <c r="V112" s="4">
        <f>AVERAGE(V12:V16)</f>
        <v>0.68529400000000007</v>
      </c>
      <c r="W112" s="4">
        <f>AVERAGE(W12:W16)</f>
        <v>0.69217400000000007</v>
      </c>
      <c r="X112" s="8">
        <v>0</v>
      </c>
    </row>
    <row r="113" spans="21:24" x14ac:dyDescent="0.25">
      <c r="U113" s="3">
        <v>0.3</v>
      </c>
      <c r="V113" s="4">
        <f>AVERAGE(V32:V36)</f>
        <v>0.28793400000000002</v>
      </c>
      <c r="W113" s="4">
        <f>AVERAGE(W32:W36)</f>
        <v>0.28385999999999995</v>
      </c>
      <c r="X113" s="8">
        <v>0</v>
      </c>
    </row>
    <row r="114" spans="21:24" x14ac:dyDescent="0.25">
      <c r="U114" s="3">
        <v>0</v>
      </c>
      <c r="V114" s="4">
        <f>AVERAGE(V51:V55)</f>
        <v>2.8241800000000001E-2</v>
      </c>
      <c r="W114" s="4">
        <f>AVERAGE(W51:W55)</f>
        <v>1.0238000000000001E-2</v>
      </c>
      <c r="X114" s="8">
        <v>0</v>
      </c>
    </row>
    <row r="115" spans="21:24" x14ac:dyDescent="0.25">
      <c r="U115" s="3">
        <v>-0.3</v>
      </c>
      <c r="V115" s="4">
        <f>AVERAGE(V70:V74)</f>
        <v>0.39697940000000004</v>
      </c>
      <c r="W115" s="4">
        <f>AVERAGE(W70:W74)</f>
        <v>0.40174320000000002</v>
      </c>
      <c r="X115" s="8">
        <f>AVERAGE(X70:X74)</f>
        <v>0.19237000000000001</v>
      </c>
    </row>
    <row r="116" spans="21:24" x14ac:dyDescent="0.25">
      <c r="U116" s="3">
        <v>-0.7</v>
      </c>
      <c r="V116" s="4">
        <f>AVERAGE(V89:V93)</f>
        <v>3.835944</v>
      </c>
      <c r="W116" s="4">
        <f>AVERAGE(W89:W93)</f>
        <v>3.8688463999999998</v>
      </c>
      <c r="X116" s="8">
        <f>AVERAGE(X89:X93)</f>
        <v>3.8768380000000002</v>
      </c>
    </row>
  </sheetData>
  <mergeCells count="56">
    <mergeCell ref="AD61:AJ61"/>
    <mergeCell ref="AD1:AJ1"/>
    <mergeCell ref="AD26:AJ26"/>
    <mergeCell ref="AD37:AJ37"/>
    <mergeCell ref="AD38:AJ38"/>
    <mergeCell ref="AD49:AJ49"/>
    <mergeCell ref="AD50:AJ50"/>
    <mergeCell ref="AD60:AJ60"/>
    <mergeCell ref="U1:AA1"/>
    <mergeCell ref="AD2:AJ2"/>
    <mergeCell ref="AD3:AJ3"/>
    <mergeCell ref="AD14:AJ14"/>
    <mergeCell ref="AD15:AJ15"/>
    <mergeCell ref="AD25:AJ25"/>
    <mergeCell ref="U78:AA78"/>
    <mergeCell ref="U79:AA79"/>
    <mergeCell ref="U87:W87"/>
    <mergeCell ref="U99:AA99"/>
    <mergeCell ref="U100:AA100"/>
    <mergeCell ref="U110:W110"/>
    <mergeCell ref="U40:AA40"/>
    <mergeCell ref="U41:AA41"/>
    <mergeCell ref="U49:W49"/>
    <mergeCell ref="U59:AA59"/>
    <mergeCell ref="U60:AA60"/>
    <mergeCell ref="U68:W68"/>
    <mergeCell ref="K48:Q48"/>
    <mergeCell ref="K49:Q49"/>
    <mergeCell ref="K60:Q60"/>
    <mergeCell ref="K1:Q1"/>
    <mergeCell ref="U2:AA2"/>
    <mergeCell ref="U3:AA3"/>
    <mergeCell ref="U10:W10"/>
    <mergeCell ref="U21:AA21"/>
    <mergeCell ref="U22:AA22"/>
    <mergeCell ref="U30:W30"/>
    <mergeCell ref="K2:Q2"/>
    <mergeCell ref="K3:Q3"/>
    <mergeCell ref="K14:Q14"/>
    <mergeCell ref="K15:Q15"/>
    <mergeCell ref="K25:Q25"/>
    <mergeCell ref="K26:Q26"/>
    <mergeCell ref="K36:Q36"/>
    <mergeCell ref="K37:Q37"/>
    <mergeCell ref="A72:G72"/>
    <mergeCell ref="A1:G1"/>
    <mergeCell ref="A4:G4"/>
    <mergeCell ref="A16:G16"/>
    <mergeCell ref="A17:G17"/>
    <mergeCell ref="A29:G29"/>
    <mergeCell ref="A30:G30"/>
    <mergeCell ref="A42:G42"/>
    <mergeCell ref="A43:G43"/>
    <mergeCell ref="A55:G55"/>
    <mergeCell ref="A56:G56"/>
    <mergeCell ref="A3:G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504E-DEB8-4EA8-94D2-E525F8C99CD2}">
  <dimension ref="A1:AJ116"/>
  <sheetViews>
    <sheetView topLeftCell="A57" workbookViewId="0">
      <selection activeCell="N88" sqref="N88"/>
    </sheetView>
  </sheetViews>
  <sheetFormatPr defaultRowHeight="15" x14ac:dyDescent="0.25"/>
  <sheetData>
    <row r="1" spans="1:36" x14ac:dyDescent="0.25">
      <c r="A1" s="18" t="s">
        <v>4</v>
      </c>
      <c r="B1" s="18"/>
      <c r="C1" s="18"/>
      <c r="D1" s="18"/>
      <c r="E1" s="18"/>
      <c r="F1" s="18"/>
      <c r="G1" s="18"/>
      <c r="J1" s="18" t="s">
        <v>15</v>
      </c>
      <c r="K1" s="18"/>
      <c r="L1" s="18"/>
      <c r="M1" s="18"/>
      <c r="N1" s="18"/>
      <c r="O1" s="18"/>
      <c r="P1" s="18"/>
      <c r="T1" s="18" t="s">
        <v>16</v>
      </c>
      <c r="U1" s="18"/>
      <c r="V1" s="18"/>
      <c r="W1" s="18"/>
      <c r="X1" s="18"/>
      <c r="Y1" s="18"/>
      <c r="Z1" s="18"/>
      <c r="AD1" s="18" t="s">
        <v>27</v>
      </c>
      <c r="AE1" s="18"/>
      <c r="AF1" s="18"/>
      <c r="AG1" s="18"/>
      <c r="AH1" s="18"/>
      <c r="AI1" s="18"/>
      <c r="AJ1" s="18"/>
    </row>
    <row r="2" spans="1:36" x14ac:dyDescent="0.25">
      <c r="C2" t="s">
        <v>3</v>
      </c>
      <c r="D2" s="20" t="s">
        <v>32</v>
      </c>
      <c r="E2" s="20" t="s">
        <v>33</v>
      </c>
      <c r="J2" s="11" t="s">
        <v>34</v>
      </c>
      <c r="K2" s="11"/>
      <c r="L2" s="11"/>
      <c r="M2" s="11"/>
      <c r="N2" s="11"/>
      <c r="O2" s="11"/>
      <c r="P2" s="11"/>
      <c r="T2" s="11" t="s">
        <v>34</v>
      </c>
      <c r="U2" s="11"/>
      <c r="V2" s="11"/>
      <c r="W2" s="11"/>
      <c r="X2" s="11"/>
      <c r="Y2" s="11"/>
      <c r="Z2" s="11"/>
      <c r="AD2" s="11" t="s">
        <v>34</v>
      </c>
      <c r="AE2" s="11"/>
      <c r="AF2" s="11"/>
      <c r="AG2" s="11"/>
      <c r="AH2" s="11"/>
      <c r="AI2" s="11"/>
      <c r="AJ2" s="11"/>
    </row>
    <row r="3" spans="1:36" x14ac:dyDescent="0.25">
      <c r="A3" s="11" t="s">
        <v>34</v>
      </c>
      <c r="B3" s="11"/>
      <c r="C3" s="11"/>
      <c r="D3" s="11"/>
      <c r="E3" s="11"/>
      <c r="F3" s="11"/>
      <c r="G3" s="11"/>
      <c r="J3" s="13" t="s">
        <v>15</v>
      </c>
      <c r="K3" s="14"/>
      <c r="L3" s="14"/>
      <c r="M3" s="14"/>
      <c r="N3" s="14"/>
      <c r="O3" s="14"/>
      <c r="P3" s="15"/>
      <c r="T3" s="10" t="s">
        <v>16</v>
      </c>
      <c r="U3" s="10"/>
      <c r="V3" s="10"/>
      <c r="W3" s="10"/>
      <c r="X3" s="10"/>
      <c r="Y3" s="10"/>
      <c r="Z3" s="10"/>
      <c r="AD3" s="13" t="s">
        <v>2</v>
      </c>
      <c r="AE3" s="14"/>
      <c r="AF3" s="14"/>
      <c r="AG3" s="14"/>
      <c r="AH3" s="14"/>
      <c r="AI3" s="14"/>
      <c r="AJ3" s="15"/>
    </row>
    <row r="4" spans="1:36" ht="18" customHeight="1" x14ac:dyDescent="0.25">
      <c r="A4" s="10" t="s">
        <v>4</v>
      </c>
      <c r="B4" s="10"/>
      <c r="C4" s="10"/>
      <c r="D4" s="10"/>
      <c r="E4" s="10"/>
      <c r="F4" s="10"/>
      <c r="G4" s="10"/>
      <c r="J4" s="7"/>
      <c r="K4" s="1" t="s">
        <v>5</v>
      </c>
      <c r="L4" s="6" t="s">
        <v>6</v>
      </c>
      <c r="M4" s="1" t="s">
        <v>7</v>
      </c>
      <c r="N4" s="6" t="s">
        <v>8</v>
      </c>
      <c r="O4" s="1" t="s">
        <v>1</v>
      </c>
      <c r="P4" s="1" t="s">
        <v>0</v>
      </c>
      <c r="T4" s="5"/>
      <c r="U4" s="1" t="s">
        <v>5</v>
      </c>
      <c r="V4" s="6" t="s">
        <v>6</v>
      </c>
      <c r="W4" s="6" t="s">
        <v>7</v>
      </c>
      <c r="X4" s="6" t="s">
        <v>8</v>
      </c>
      <c r="Y4" s="1" t="s">
        <v>1</v>
      </c>
      <c r="Z4" s="1" t="s">
        <v>0</v>
      </c>
      <c r="AD4" s="7"/>
      <c r="AE4" s="1" t="s">
        <v>5</v>
      </c>
      <c r="AF4" s="6" t="s">
        <v>6</v>
      </c>
      <c r="AG4" s="1" t="s">
        <v>7</v>
      </c>
      <c r="AH4" s="6" t="s">
        <v>8</v>
      </c>
      <c r="AI4" s="1" t="s">
        <v>1</v>
      </c>
      <c r="AJ4" s="1" t="s">
        <v>0</v>
      </c>
    </row>
    <row r="5" spans="1:36" ht="105" x14ac:dyDescent="0.25">
      <c r="A5" s="5"/>
      <c r="B5" s="1" t="s">
        <v>5</v>
      </c>
      <c r="C5" s="6" t="s">
        <v>6</v>
      </c>
      <c r="D5" s="1" t="s">
        <v>7</v>
      </c>
      <c r="E5" s="6" t="s">
        <v>8</v>
      </c>
      <c r="F5" s="1" t="s">
        <v>1</v>
      </c>
      <c r="G5" s="1" t="s">
        <v>0</v>
      </c>
      <c r="J5" s="1" t="s">
        <v>9</v>
      </c>
      <c r="K5">
        <v>38.347999999999999</v>
      </c>
      <c r="L5">
        <v>54.277999999999999</v>
      </c>
      <c r="M5">
        <v>2.0609999999999999</v>
      </c>
      <c r="N5">
        <v>1.0760000000000001</v>
      </c>
      <c r="O5">
        <v>2.2050000000000001</v>
      </c>
      <c r="P5">
        <v>1.46</v>
      </c>
      <c r="T5" s="1" t="s">
        <v>9</v>
      </c>
      <c r="U5">
        <v>0</v>
      </c>
      <c r="V5">
        <v>0</v>
      </c>
      <c r="W5">
        <v>0</v>
      </c>
      <c r="X5">
        <v>0</v>
      </c>
      <c r="Y5">
        <v>0.49030000000000001</v>
      </c>
      <c r="Z5">
        <v>0.47689999999999999</v>
      </c>
      <c r="AD5" s="1" t="s">
        <v>9</v>
      </c>
      <c r="AE5">
        <v>1</v>
      </c>
      <c r="AF5">
        <v>1</v>
      </c>
      <c r="AG5">
        <v>133</v>
      </c>
      <c r="AH5">
        <v>126</v>
      </c>
      <c r="AI5">
        <v>1</v>
      </c>
      <c r="AJ5">
        <v>1</v>
      </c>
    </row>
    <row r="6" spans="1:36" x14ac:dyDescent="0.25">
      <c r="A6" s="1" t="s">
        <v>9</v>
      </c>
      <c r="B6">
        <v>1348</v>
      </c>
      <c r="C6">
        <v>1558</v>
      </c>
      <c r="D6">
        <v>3118</v>
      </c>
      <c r="E6">
        <v>2907</v>
      </c>
      <c r="F6">
        <v>355</v>
      </c>
      <c r="G6">
        <v>341</v>
      </c>
      <c r="J6" s="1" t="s">
        <v>10</v>
      </c>
      <c r="K6">
        <v>37.290999999999997</v>
      </c>
      <c r="L6">
        <v>46.122</v>
      </c>
      <c r="M6">
        <v>4.609</v>
      </c>
      <c r="N6">
        <v>1.5669999999999999</v>
      </c>
      <c r="O6">
        <v>1.8879999999999999</v>
      </c>
      <c r="P6">
        <v>1.181</v>
      </c>
      <c r="T6" s="1" t="s">
        <v>10</v>
      </c>
      <c r="U6">
        <v>0</v>
      </c>
      <c r="V6">
        <v>0</v>
      </c>
      <c r="W6">
        <v>0</v>
      </c>
      <c r="X6">
        <v>0</v>
      </c>
      <c r="Y6">
        <v>0.48799999999999999</v>
      </c>
      <c r="Z6">
        <v>0.49320000000000003</v>
      </c>
      <c r="AD6" s="1" t="s">
        <v>10</v>
      </c>
      <c r="AE6">
        <v>1</v>
      </c>
      <c r="AF6">
        <v>1</v>
      </c>
      <c r="AG6">
        <v>124</v>
      </c>
      <c r="AH6">
        <v>115</v>
      </c>
      <c r="AI6">
        <v>1</v>
      </c>
      <c r="AJ6">
        <v>1</v>
      </c>
    </row>
    <row r="7" spans="1:36" x14ac:dyDescent="0.25">
      <c r="A7" s="1" t="s">
        <v>10</v>
      </c>
      <c r="B7">
        <v>1506</v>
      </c>
      <c r="C7">
        <v>1405</v>
      </c>
      <c r="D7">
        <v>2870</v>
      </c>
      <c r="E7">
        <v>3073</v>
      </c>
      <c r="F7">
        <v>371</v>
      </c>
      <c r="G7">
        <v>357</v>
      </c>
      <c r="J7" s="1" t="s">
        <v>11</v>
      </c>
      <c r="K7">
        <v>35.220999999999997</v>
      </c>
      <c r="L7">
        <v>42.564</v>
      </c>
      <c r="M7">
        <v>4.9340000000000002</v>
      </c>
      <c r="N7">
        <v>1.2949999999999999</v>
      </c>
      <c r="O7">
        <v>2.105</v>
      </c>
      <c r="P7">
        <v>1.8640000000000001</v>
      </c>
      <c r="T7" s="1" t="s">
        <v>11</v>
      </c>
      <c r="U7">
        <v>0</v>
      </c>
      <c r="V7">
        <v>0</v>
      </c>
      <c r="W7">
        <v>0</v>
      </c>
      <c r="X7">
        <v>0</v>
      </c>
      <c r="Y7">
        <v>0.48699999999999999</v>
      </c>
      <c r="Z7">
        <v>0.495</v>
      </c>
      <c r="AD7" s="1" t="s">
        <v>11</v>
      </c>
      <c r="AE7">
        <v>1</v>
      </c>
      <c r="AF7">
        <v>1</v>
      </c>
      <c r="AG7">
        <v>101</v>
      </c>
      <c r="AH7">
        <v>72</v>
      </c>
      <c r="AI7">
        <v>1</v>
      </c>
      <c r="AJ7">
        <v>1</v>
      </c>
    </row>
    <row r="8" spans="1:36" x14ac:dyDescent="0.25">
      <c r="A8" s="1" t="s">
        <v>11</v>
      </c>
      <c r="B8">
        <v>1670</v>
      </c>
      <c r="C8">
        <v>1110</v>
      </c>
      <c r="D8">
        <v>2740</v>
      </c>
      <c r="E8">
        <v>3142</v>
      </c>
      <c r="F8">
        <v>388</v>
      </c>
      <c r="G8">
        <v>341</v>
      </c>
      <c r="J8" s="1" t="s">
        <v>12</v>
      </c>
      <c r="K8">
        <v>37.229999999999997</v>
      </c>
      <c r="L8">
        <v>41.241999999999997</v>
      </c>
      <c r="M8">
        <v>2.8839999999999999</v>
      </c>
      <c r="N8">
        <v>1.234</v>
      </c>
      <c r="O8">
        <v>2.19</v>
      </c>
      <c r="P8">
        <v>1.099</v>
      </c>
      <c r="T8" s="1" t="s">
        <v>12</v>
      </c>
      <c r="U8">
        <v>0</v>
      </c>
      <c r="V8">
        <v>0</v>
      </c>
      <c r="W8">
        <v>0</v>
      </c>
      <c r="X8">
        <v>0</v>
      </c>
      <c r="Y8">
        <v>0.48599999999999999</v>
      </c>
      <c r="Z8">
        <v>0.4763</v>
      </c>
      <c r="AD8" s="1" t="s">
        <v>12</v>
      </c>
      <c r="AE8">
        <v>1</v>
      </c>
      <c r="AF8">
        <v>1</v>
      </c>
      <c r="AG8">
        <v>28</v>
      </c>
      <c r="AH8">
        <v>106</v>
      </c>
      <c r="AI8">
        <v>1</v>
      </c>
      <c r="AJ8">
        <v>1</v>
      </c>
    </row>
    <row r="9" spans="1:36" x14ac:dyDescent="0.25">
      <c r="A9" s="1" t="s">
        <v>12</v>
      </c>
      <c r="B9">
        <v>1829</v>
      </c>
      <c r="C9">
        <v>1137</v>
      </c>
      <c r="D9">
        <v>1901</v>
      </c>
      <c r="E9">
        <v>2871</v>
      </c>
      <c r="F9">
        <v>415</v>
      </c>
      <c r="G9">
        <v>341</v>
      </c>
      <c r="J9" s="1" t="s">
        <v>13</v>
      </c>
      <c r="K9">
        <v>39.656999999999996</v>
      </c>
      <c r="L9">
        <v>45.127000000000002</v>
      </c>
      <c r="M9">
        <v>2.2450000000000001</v>
      </c>
      <c r="N9">
        <v>1.31</v>
      </c>
      <c r="O9">
        <v>1.9630000000000001</v>
      </c>
      <c r="P9">
        <v>1.032</v>
      </c>
      <c r="T9" s="1" t="s">
        <v>13</v>
      </c>
      <c r="U9">
        <v>0</v>
      </c>
      <c r="V9">
        <v>0</v>
      </c>
      <c r="W9">
        <v>0</v>
      </c>
      <c r="X9">
        <v>0</v>
      </c>
      <c r="Y9">
        <v>0.48899999999999999</v>
      </c>
      <c r="Z9">
        <v>0.47499999999999998</v>
      </c>
      <c r="AD9" s="1" t="s">
        <v>13</v>
      </c>
      <c r="AE9">
        <v>1</v>
      </c>
      <c r="AF9">
        <v>1</v>
      </c>
      <c r="AG9">
        <v>74</v>
      </c>
      <c r="AH9">
        <v>64</v>
      </c>
      <c r="AI9">
        <v>1</v>
      </c>
      <c r="AJ9">
        <v>1</v>
      </c>
    </row>
    <row r="10" spans="1:36" x14ac:dyDescent="0.25">
      <c r="A10" s="1" t="s">
        <v>13</v>
      </c>
      <c r="B10">
        <v>1691</v>
      </c>
      <c r="C10">
        <v>1273</v>
      </c>
      <c r="D10">
        <v>2729</v>
      </c>
      <c r="E10">
        <v>2119</v>
      </c>
      <c r="F10">
        <v>404</v>
      </c>
      <c r="G10">
        <v>342</v>
      </c>
    </row>
    <row r="11" spans="1:36" x14ac:dyDescent="0.25">
      <c r="T11" s="16" t="s">
        <v>17</v>
      </c>
      <c r="U11" s="16"/>
      <c r="V11" s="16"/>
    </row>
    <row r="12" spans="1:36" x14ac:dyDescent="0.25">
      <c r="U12" s="1" t="s">
        <v>0</v>
      </c>
      <c r="V12" s="1" t="s">
        <v>1</v>
      </c>
    </row>
    <row r="13" spans="1:36" x14ac:dyDescent="0.25">
      <c r="T13" s="1" t="s">
        <v>9</v>
      </c>
      <c r="U13" s="4">
        <v>0.66890000000000005</v>
      </c>
      <c r="V13" s="4">
        <v>0.68730999999999998</v>
      </c>
    </row>
    <row r="14" spans="1:36" x14ac:dyDescent="0.25">
      <c r="J14" s="11" t="s">
        <v>35</v>
      </c>
      <c r="K14" s="11"/>
      <c r="L14" s="11"/>
      <c r="M14" s="11"/>
      <c r="N14" s="11"/>
      <c r="O14" s="11"/>
      <c r="P14" s="11"/>
      <c r="T14" s="1" t="s">
        <v>10</v>
      </c>
      <c r="U14" s="4">
        <v>0.69010000000000005</v>
      </c>
      <c r="V14" s="4">
        <v>0.68610000000000004</v>
      </c>
      <c r="AD14" s="11" t="s">
        <v>35</v>
      </c>
      <c r="AE14" s="11"/>
      <c r="AF14" s="11"/>
      <c r="AG14" s="11"/>
      <c r="AH14" s="11"/>
      <c r="AI14" s="11"/>
      <c r="AJ14" s="11"/>
    </row>
    <row r="15" spans="1:36" x14ac:dyDescent="0.25">
      <c r="C15" t="s">
        <v>3</v>
      </c>
      <c r="J15" s="13" t="s">
        <v>15</v>
      </c>
      <c r="K15" s="14"/>
      <c r="L15" s="14"/>
      <c r="M15" s="14"/>
      <c r="N15" s="14"/>
      <c r="O15" s="14"/>
      <c r="P15" s="15"/>
      <c r="T15" s="1" t="s">
        <v>11</v>
      </c>
      <c r="U15" s="4">
        <v>0.69303000000000003</v>
      </c>
      <c r="V15" s="4">
        <v>0.68452900000000005</v>
      </c>
      <c r="AD15" s="13" t="s">
        <v>2</v>
      </c>
      <c r="AE15" s="14"/>
      <c r="AF15" s="14"/>
      <c r="AG15" s="14"/>
      <c r="AH15" s="14"/>
      <c r="AI15" s="14"/>
      <c r="AJ15" s="15"/>
    </row>
    <row r="16" spans="1:36" ht="29.25" customHeight="1" x14ac:dyDescent="0.25">
      <c r="A16" s="11" t="s">
        <v>35</v>
      </c>
      <c r="B16" s="11"/>
      <c r="C16" s="11"/>
      <c r="D16" s="11"/>
      <c r="E16" s="11"/>
      <c r="F16" s="11"/>
      <c r="G16" s="11"/>
      <c r="J16" s="7"/>
      <c r="K16" s="1" t="s">
        <v>5</v>
      </c>
      <c r="L16" s="6" t="s">
        <v>6</v>
      </c>
      <c r="M16" s="1" t="s">
        <v>7</v>
      </c>
      <c r="N16" s="6" t="s">
        <v>8</v>
      </c>
      <c r="O16" s="1" t="s">
        <v>1</v>
      </c>
      <c r="P16" s="1" t="s">
        <v>0</v>
      </c>
      <c r="T16" s="1" t="s">
        <v>12</v>
      </c>
      <c r="U16" s="4">
        <v>0.66954999999999998</v>
      </c>
      <c r="V16" s="4">
        <v>0.68391999999999997</v>
      </c>
      <c r="AD16" s="7"/>
      <c r="AE16" s="1" t="s">
        <v>5</v>
      </c>
      <c r="AF16" s="6" t="s">
        <v>6</v>
      </c>
      <c r="AG16" s="1" t="s">
        <v>7</v>
      </c>
      <c r="AH16" s="6" t="s">
        <v>8</v>
      </c>
      <c r="AI16" s="1" t="s">
        <v>1</v>
      </c>
      <c r="AJ16" s="1" t="s">
        <v>0</v>
      </c>
    </row>
    <row r="17" spans="1:36" x14ac:dyDescent="0.25">
      <c r="A17" s="10" t="s">
        <v>4</v>
      </c>
      <c r="B17" s="10"/>
      <c r="C17" s="10"/>
      <c r="D17" s="10"/>
      <c r="E17" s="10"/>
      <c r="F17" s="10"/>
      <c r="G17" s="10"/>
      <c r="J17" s="1" t="s">
        <v>9</v>
      </c>
      <c r="K17">
        <v>33.372</v>
      </c>
      <c r="L17">
        <v>28.873000000000001</v>
      </c>
      <c r="M17">
        <v>4.2450000000000001</v>
      </c>
      <c r="N17">
        <v>1.0960000000000001</v>
      </c>
      <c r="O17">
        <v>1.27</v>
      </c>
      <c r="P17">
        <v>1.2050000000000001</v>
      </c>
      <c r="T17" s="1" t="s">
        <v>13</v>
      </c>
      <c r="U17" s="4">
        <v>0.66673000000000004</v>
      </c>
      <c r="V17" s="4">
        <v>0.69340999999999997</v>
      </c>
      <c r="AD17" s="1" t="s">
        <v>9</v>
      </c>
      <c r="AE17">
        <v>499</v>
      </c>
      <c r="AF17">
        <v>660</v>
      </c>
      <c r="AG17">
        <v>1535</v>
      </c>
      <c r="AH17">
        <v>1031</v>
      </c>
      <c r="AI17">
        <v>31</v>
      </c>
      <c r="AJ17">
        <v>42</v>
      </c>
    </row>
    <row r="18" spans="1:36" ht="105" x14ac:dyDescent="0.25">
      <c r="A18" s="5"/>
      <c r="B18" s="1" t="s">
        <v>5</v>
      </c>
      <c r="C18" s="6" t="s">
        <v>6</v>
      </c>
      <c r="D18" s="1" t="s">
        <v>7</v>
      </c>
      <c r="E18" s="6" t="s">
        <v>8</v>
      </c>
      <c r="F18" s="1" t="s">
        <v>1</v>
      </c>
      <c r="G18" s="1" t="s">
        <v>0</v>
      </c>
      <c r="J18" s="1" t="s">
        <v>10</v>
      </c>
      <c r="K18">
        <v>27.506</v>
      </c>
      <c r="L18">
        <v>29.402000000000001</v>
      </c>
      <c r="M18">
        <v>2.7469999999999999</v>
      </c>
      <c r="N18">
        <v>1.413</v>
      </c>
      <c r="O18">
        <v>1.5980000000000001</v>
      </c>
      <c r="P18">
        <v>1.419</v>
      </c>
      <c r="AD18" s="1" t="s">
        <v>10</v>
      </c>
      <c r="AE18">
        <v>668</v>
      </c>
      <c r="AF18">
        <v>384</v>
      </c>
      <c r="AG18">
        <v>1052</v>
      </c>
      <c r="AH18">
        <v>1063</v>
      </c>
      <c r="AI18">
        <v>8</v>
      </c>
      <c r="AJ18">
        <v>26</v>
      </c>
    </row>
    <row r="19" spans="1:36" x14ac:dyDescent="0.25">
      <c r="A19" s="1" t="s">
        <v>9</v>
      </c>
      <c r="B19">
        <v>1348</v>
      </c>
      <c r="C19">
        <v>1827</v>
      </c>
      <c r="D19">
        <v>3545</v>
      </c>
      <c r="E19">
        <v>2878</v>
      </c>
      <c r="F19">
        <v>408</v>
      </c>
      <c r="G19">
        <v>350</v>
      </c>
      <c r="J19" s="1" t="s">
        <v>11</v>
      </c>
      <c r="K19">
        <v>25.67</v>
      </c>
      <c r="L19">
        <v>26.16</v>
      </c>
      <c r="M19">
        <v>4.9569999999999999</v>
      </c>
      <c r="N19">
        <v>1.1080000000000001</v>
      </c>
      <c r="O19">
        <v>1.6859999999999999</v>
      </c>
      <c r="P19">
        <v>1.4910000000000001</v>
      </c>
      <c r="AD19" s="1" t="s">
        <v>11</v>
      </c>
      <c r="AE19">
        <v>260</v>
      </c>
      <c r="AF19">
        <v>438</v>
      </c>
      <c r="AG19">
        <v>1084</v>
      </c>
      <c r="AH19">
        <v>1108</v>
      </c>
      <c r="AI19">
        <v>13</v>
      </c>
      <c r="AJ19">
        <v>34</v>
      </c>
    </row>
    <row r="20" spans="1:36" x14ac:dyDescent="0.25">
      <c r="A20" s="1" t="s">
        <v>10</v>
      </c>
      <c r="B20">
        <v>2293</v>
      </c>
      <c r="C20">
        <v>1494</v>
      </c>
      <c r="D20">
        <v>3292</v>
      </c>
      <c r="E20">
        <v>2686</v>
      </c>
      <c r="F20">
        <v>406</v>
      </c>
      <c r="G20">
        <v>341</v>
      </c>
      <c r="J20" s="1" t="s">
        <v>12</v>
      </c>
      <c r="K20">
        <v>32.276000000000003</v>
      </c>
      <c r="L20">
        <v>31.315000000000001</v>
      </c>
      <c r="M20">
        <v>3.9039999999999999</v>
      </c>
      <c r="N20">
        <v>1.3939999999999999</v>
      </c>
      <c r="O20">
        <v>1.71</v>
      </c>
      <c r="P20">
        <v>1.5129999999999999</v>
      </c>
      <c r="AD20" s="1" t="s">
        <v>12</v>
      </c>
      <c r="AE20">
        <v>273</v>
      </c>
      <c r="AF20">
        <v>206</v>
      </c>
      <c r="AG20">
        <v>1322</v>
      </c>
      <c r="AH20">
        <v>970</v>
      </c>
      <c r="AI20">
        <v>7</v>
      </c>
      <c r="AJ20">
        <v>44</v>
      </c>
    </row>
    <row r="21" spans="1:36" x14ac:dyDescent="0.25">
      <c r="A21" s="1" t="s">
        <v>11</v>
      </c>
      <c r="B21">
        <v>2653</v>
      </c>
      <c r="C21">
        <v>1294</v>
      </c>
      <c r="D21">
        <v>3634</v>
      </c>
      <c r="E21">
        <v>2841</v>
      </c>
      <c r="F21">
        <v>405</v>
      </c>
      <c r="G21">
        <v>342</v>
      </c>
      <c r="J21" s="1" t="s">
        <v>13</v>
      </c>
      <c r="K21">
        <v>25.640999999999998</v>
      </c>
      <c r="L21">
        <v>28.637</v>
      </c>
      <c r="M21">
        <v>4.2309999999999999</v>
      </c>
      <c r="N21">
        <v>1.173</v>
      </c>
      <c r="O21">
        <v>1.8109999999999999</v>
      </c>
      <c r="P21">
        <v>1.4950000000000001</v>
      </c>
      <c r="AD21" s="1" t="s">
        <v>13</v>
      </c>
      <c r="AE21">
        <v>592</v>
      </c>
      <c r="AF21">
        <v>341</v>
      </c>
      <c r="AG21">
        <v>1670</v>
      </c>
      <c r="AH21">
        <v>1064</v>
      </c>
      <c r="AI21">
        <v>10</v>
      </c>
      <c r="AJ21">
        <v>124</v>
      </c>
    </row>
    <row r="22" spans="1:36" x14ac:dyDescent="0.25">
      <c r="A22" s="1" t="s">
        <v>12</v>
      </c>
      <c r="B22">
        <v>3705</v>
      </c>
      <c r="C22">
        <v>1206</v>
      </c>
      <c r="D22">
        <v>3747</v>
      </c>
      <c r="E22">
        <v>2716</v>
      </c>
      <c r="F22">
        <v>384</v>
      </c>
      <c r="G22">
        <v>342</v>
      </c>
      <c r="T22" s="11" t="s">
        <v>35</v>
      </c>
      <c r="U22" s="11"/>
      <c r="V22" s="11"/>
      <c r="W22" s="11"/>
      <c r="X22" s="11"/>
      <c r="Y22" s="11"/>
      <c r="Z22" s="11"/>
    </row>
    <row r="23" spans="1:36" x14ac:dyDescent="0.25">
      <c r="A23" s="1" t="s">
        <v>13</v>
      </c>
      <c r="B23">
        <v>3543</v>
      </c>
      <c r="C23">
        <v>1807</v>
      </c>
      <c r="D23">
        <v>2454</v>
      </c>
      <c r="E23">
        <v>3408</v>
      </c>
      <c r="F23">
        <v>343</v>
      </c>
      <c r="G23">
        <v>341</v>
      </c>
      <c r="T23" s="10" t="s">
        <v>16</v>
      </c>
      <c r="U23" s="10"/>
      <c r="V23" s="10"/>
      <c r="W23" s="10"/>
      <c r="X23" s="10"/>
      <c r="Y23" s="10"/>
      <c r="Z23" s="10"/>
    </row>
    <row r="24" spans="1:36" ht="47.25" customHeight="1" x14ac:dyDescent="0.25">
      <c r="T24" s="5"/>
      <c r="U24" s="1" t="s">
        <v>5</v>
      </c>
      <c r="V24" s="6" t="s">
        <v>6</v>
      </c>
      <c r="W24" s="6" t="s">
        <v>7</v>
      </c>
      <c r="X24" s="6" t="s">
        <v>8</v>
      </c>
      <c r="Y24" s="1" t="s">
        <v>1</v>
      </c>
      <c r="Z24" s="1" t="s">
        <v>0</v>
      </c>
    </row>
    <row r="25" spans="1:36" x14ac:dyDescent="0.25">
      <c r="J25" s="11" t="s">
        <v>36</v>
      </c>
      <c r="K25" s="11"/>
      <c r="L25" s="11"/>
      <c r="M25" s="11"/>
      <c r="N25" s="11"/>
      <c r="O25" s="11"/>
      <c r="P25" s="11"/>
      <c r="T25" s="1" t="s">
        <v>9</v>
      </c>
      <c r="U25">
        <v>0</v>
      </c>
      <c r="V25">
        <v>0</v>
      </c>
      <c r="W25">
        <v>0</v>
      </c>
      <c r="X25">
        <v>0</v>
      </c>
      <c r="Y25">
        <v>0.24129999999999999</v>
      </c>
      <c r="Z25">
        <v>0.28599999999999998</v>
      </c>
      <c r="AD25" s="11" t="s">
        <v>36</v>
      </c>
      <c r="AE25" s="11"/>
      <c r="AF25" s="11"/>
      <c r="AG25" s="11"/>
      <c r="AH25" s="11"/>
      <c r="AI25" s="11"/>
      <c r="AJ25" s="11"/>
    </row>
    <row r="26" spans="1:36" x14ac:dyDescent="0.25">
      <c r="J26" s="13" t="s">
        <v>15</v>
      </c>
      <c r="K26" s="14"/>
      <c r="L26" s="14"/>
      <c r="M26" s="14"/>
      <c r="N26" s="14"/>
      <c r="O26" s="14"/>
      <c r="P26" s="15"/>
      <c r="T26" s="1" t="s">
        <v>10</v>
      </c>
      <c r="U26">
        <v>0</v>
      </c>
      <c r="V26">
        <v>0</v>
      </c>
      <c r="W26">
        <v>0</v>
      </c>
      <c r="X26">
        <v>0</v>
      </c>
      <c r="Y26">
        <v>0.24249999999999999</v>
      </c>
      <c r="Z26">
        <v>0.27800000000000002</v>
      </c>
      <c r="AD26" s="13" t="s">
        <v>2</v>
      </c>
      <c r="AE26" s="14"/>
      <c r="AF26" s="14"/>
      <c r="AG26" s="14"/>
      <c r="AH26" s="14"/>
      <c r="AI26" s="14"/>
      <c r="AJ26" s="15"/>
    </row>
    <row r="27" spans="1:36" ht="105" x14ac:dyDescent="0.25">
      <c r="J27" s="7"/>
      <c r="K27" s="1" t="s">
        <v>5</v>
      </c>
      <c r="L27" s="6" t="s">
        <v>6</v>
      </c>
      <c r="M27" s="1" t="s">
        <v>7</v>
      </c>
      <c r="N27" s="6" t="s">
        <v>8</v>
      </c>
      <c r="O27" s="1" t="s">
        <v>1</v>
      </c>
      <c r="P27" s="1" t="s">
        <v>0</v>
      </c>
      <c r="T27" s="1" t="s">
        <v>11</v>
      </c>
      <c r="U27">
        <v>0</v>
      </c>
      <c r="V27">
        <v>0</v>
      </c>
      <c r="W27">
        <v>0</v>
      </c>
      <c r="X27">
        <v>0</v>
      </c>
      <c r="Y27">
        <v>0.26700000000000002</v>
      </c>
      <c r="Z27">
        <v>0.28649999999999998</v>
      </c>
      <c r="AD27" s="7"/>
      <c r="AE27" s="1" t="s">
        <v>5</v>
      </c>
      <c r="AF27" s="6" t="s">
        <v>6</v>
      </c>
      <c r="AG27" s="1" t="s">
        <v>7</v>
      </c>
      <c r="AH27" s="6" t="s">
        <v>8</v>
      </c>
      <c r="AI27" s="1" t="s">
        <v>1</v>
      </c>
      <c r="AJ27" s="1" t="s">
        <v>0</v>
      </c>
    </row>
    <row r="28" spans="1:36" x14ac:dyDescent="0.25">
      <c r="C28" t="s">
        <v>3</v>
      </c>
      <c r="J28" s="1" t="s">
        <v>9</v>
      </c>
      <c r="K28">
        <v>43.728999999999999</v>
      </c>
      <c r="L28">
        <v>42.914000000000001</v>
      </c>
      <c r="M28">
        <v>3.0150000000000001</v>
      </c>
      <c r="N28">
        <v>1.1659999999999999</v>
      </c>
      <c r="O28">
        <v>2.3959999999999999</v>
      </c>
      <c r="P28">
        <v>0.93100000000000005</v>
      </c>
      <c r="T28" s="1" t="s">
        <v>12</v>
      </c>
      <c r="U28">
        <v>0</v>
      </c>
      <c r="V28">
        <v>0</v>
      </c>
      <c r="W28">
        <v>0</v>
      </c>
      <c r="X28">
        <v>0</v>
      </c>
      <c r="Y28">
        <v>0.26900000000000002</v>
      </c>
      <c r="Z28">
        <v>0.28599999999999998</v>
      </c>
      <c r="AD28" s="1" t="s">
        <v>9</v>
      </c>
      <c r="AE28">
        <v>1</v>
      </c>
      <c r="AF28">
        <v>1</v>
      </c>
      <c r="AG28">
        <v>129</v>
      </c>
      <c r="AH28">
        <v>127</v>
      </c>
      <c r="AI28">
        <v>1</v>
      </c>
      <c r="AJ28">
        <v>1</v>
      </c>
    </row>
    <row r="29" spans="1:36" x14ac:dyDescent="0.25">
      <c r="A29" s="11" t="s">
        <v>36</v>
      </c>
      <c r="B29" s="11"/>
      <c r="C29" s="11"/>
      <c r="D29" s="11"/>
      <c r="E29" s="11"/>
      <c r="F29" s="11"/>
      <c r="G29" s="11"/>
      <c r="J29" s="1" t="s">
        <v>10</v>
      </c>
      <c r="K29">
        <v>45.392000000000003</v>
      </c>
      <c r="L29">
        <v>38.787999999999997</v>
      </c>
      <c r="M29">
        <v>3.5939999999999999</v>
      </c>
      <c r="N29">
        <v>1.3420000000000001</v>
      </c>
      <c r="O29">
        <v>1.865</v>
      </c>
      <c r="P29">
        <v>0.80700000000000005</v>
      </c>
      <c r="T29" s="1" t="s">
        <v>13</v>
      </c>
      <c r="U29">
        <v>0</v>
      </c>
      <c r="V29">
        <v>0</v>
      </c>
      <c r="W29">
        <v>0</v>
      </c>
      <c r="X29">
        <v>0</v>
      </c>
      <c r="Y29">
        <v>0.27</v>
      </c>
      <c r="Z29">
        <v>0.28599999999999998</v>
      </c>
      <c r="AD29" s="1" t="s">
        <v>10</v>
      </c>
      <c r="AE29">
        <v>1</v>
      </c>
      <c r="AF29">
        <v>1</v>
      </c>
      <c r="AG29">
        <v>147</v>
      </c>
      <c r="AH29">
        <v>86</v>
      </c>
      <c r="AI29">
        <v>1</v>
      </c>
      <c r="AJ29">
        <v>1</v>
      </c>
    </row>
    <row r="30" spans="1:36" x14ac:dyDescent="0.25">
      <c r="A30" s="10" t="s">
        <v>4</v>
      </c>
      <c r="B30" s="10"/>
      <c r="C30" s="10"/>
      <c r="D30" s="10"/>
      <c r="E30" s="10"/>
      <c r="F30" s="10"/>
      <c r="G30" s="10"/>
      <c r="J30" s="1" t="s">
        <v>11</v>
      </c>
      <c r="K30">
        <v>43.896000000000001</v>
      </c>
      <c r="L30">
        <v>42.628999999999998</v>
      </c>
      <c r="M30">
        <v>2.5489999999999999</v>
      </c>
      <c r="N30">
        <v>1.3320000000000001</v>
      </c>
      <c r="O30">
        <v>1.901</v>
      </c>
      <c r="P30">
        <v>1.004</v>
      </c>
      <c r="AD30" s="1" t="s">
        <v>11</v>
      </c>
      <c r="AE30">
        <v>1</v>
      </c>
      <c r="AF30">
        <v>1</v>
      </c>
      <c r="AG30">
        <v>136</v>
      </c>
      <c r="AH30">
        <v>113</v>
      </c>
      <c r="AI30">
        <v>1</v>
      </c>
      <c r="AJ30">
        <v>1</v>
      </c>
    </row>
    <row r="31" spans="1:36" ht="83.25" customHeight="1" x14ac:dyDescent="0.25">
      <c r="A31" s="5"/>
      <c r="B31" s="1" t="s">
        <v>5</v>
      </c>
      <c r="C31" s="6" t="s">
        <v>6</v>
      </c>
      <c r="D31" s="1" t="s">
        <v>7</v>
      </c>
      <c r="E31" s="6" t="s">
        <v>8</v>
      </c>
      <c r="F31" s="1" t="s">
        <v>1</v>
      </c>
      <c r="G31" s="1" t="s">
        <v>0</v>
      </c>
      <c r="J31" s="1" t="s">
        <v>12</v>
      </c>
      <c r="K31">
        <v>44.375</v>
      </c>
      <c r="L31">
        <v>40.781999999999996</v>
      </c>
      <c r="M31">
        <v>3.2029999999999998</v>
      </c>
      <c r="N31">
        <v>1.3640000000000001</v>
      </c>
      <c r="O31">
        <v>1.899</v>
      </c>
      <c r="P31">
        <v>1.1830000000000001</v>
      </c>
      <c r="T31" s="16" t="s">
        <v>17</v>
      </c>
      <c r="U31" s="16"/>
      <c r="V31" s="16"/>
      <c r="AD31" s="1" t="s">
        <v>12</v>
      </c>
      <c r="AE31">
        <v>1</v>
      </c>
      <c r="AF31">
        <v>1</v>
      </c>
      <c r="AG31">
        <v>77</v>
      </c>
      <c r="AH31">
        <v>80</v>
      </c>
      <c r="AI31">
        <v>1</v>
      </c>
      <c r="AJ31">
        <v>1</v>
      </c>
    </row>
    <row r="32" spans="1:36" x14ac:dyDescent="0.25">
      <c r="A32" s="1" t="s">
        <v>9</v>
      </c>
      <c r="B32">
        <v>933</v>
      </c>
      <c r="C32">
        <v>938</v>
      </c>
      <c r="D32">
        <v>2902</v>
      </c>
      <c r="E32">
        <v>3198</v>
      </c>
      <c r="F32">
        <v>343</v>
      </c>
      <c r="G32">
        <v>341</v>
      </c>
      <c r="J32" s="1" t="s">
        <v>13</v>
      </c>
      <c r="K32">
        <v>39.533000000000001</v>
      </c>
      <c r="L32">
        <v>44.116999999999997</v>
      </c>
      <c r="M32">
        <v>2.9860000000000002</v>
      </c>
      <c r="N32">
        <v>1.4650000000000001</v>
      </c>
      <c r="O32">
        <v>2.0470000000000002</v>
      </c>
      <c r="P32">
        <v>1.2</v>
      </c>
      <c r="U32" s="1" t="s">
        <v>0</v>
      </c>
      <c r="V32" s="1" t="s">
        <v>1</v>
      </c>
      <c r="AD32" s="1" t="s">
        <v>13</v>
      </c>
      <c r="AE32">
        <v>1</v>
      </c>
      <c r="AF32">
        <v>1</v>
      </c>
      <c r="AG32">
        <v>109</v>
      </c>
      <c r="AH32">
        <v>143</v>
      </c>
      <c r="AI32">
        <v>1</v>
      </c>
      <c r="AJ32">
        <v>1</v>
      </c>
    </row>
    <row r="33" spans="1:36" x14ac:dyDescent="0.25">
      <c r="A33" s="1" t="s">
        <v>10</v>
      </c>
      <c r="B33">
        <v>1698</v>
      </c>
      <c r="C33">
        <v>1219</v>
      </c>
      <c r="D33">
        <v>3114</v>
      </c>
      <c r="E33">
        <v>2741</v>
      </c>
      <c r="F33">
        <v>375</v>
      </c>
      <c r="G33">
        <v>342</v>
      </c>
      <c r="T33" s="1" t="s">
        <v>9</v>
      </c>
      <c r="U33" s="4">
        <v>0.31175000000000003</v>
      </c>
      <c r="V33" s="4">
        <v>0.26079000000000002</v>
      </c>
    </row>
    <row r="34" spans="1:36" x14ac:dyDescent="0.25">
      <c r="A34" s="1" t="s">
        <v>11</v>
      </c>
      <c r="B34">
        <v>1165</v>
      </c>
      <c r="C34">
        <v>1439</v>
      </c>
      <c r="D34">
        <v>3057</v>
      </c>
      <c r="E34">
        <v>3268</v>
      </c>
      <c r="F34">
        <v>358</v>
      </c>
      <c r="G34">
        <v>350</v>
      </c>
      <c r="T34" s="1" t="s">
        <v>10</v>
      </c>
      <c r="U34" s="4">
        <v>0.30134</v>
      </c>
      <c r="V34" s="4">
        <v>0.26279999999999998</v>
      </c>
    </row>
    <row r="35" spans="1:36" x14ac:dyDescent="0.25">
      <c r="A35" s="1" t="s">
        <v>12</v>
      </c>
      <c r="B35">
        <v>1320</v>
      </c>
      <c r="C35">
        <v>1128</v>
      </c>
      <c r="D35">
        <v>2588</v>
      </c>
      <c r="E35">
        <v>2788</v>
      </c>
      <c r="F35">
        <v>366</v>
      </c>
      <c r="G35">
        <v>342</v>
      </c>
      <c r="T35" s="1" t="s">
        <v>11</v>
      </c>
      <c r="U35" s="4">
        <v>0.31133</v>
      </c>
      <c r="V35" s="4">
        <v>0.28989999999999999</v>
      </c>
    </row>
    <row r="36" spans="1:36" x14ac:dyDescent="0.25">
      <c r="A36" s="1" t="s">
        <v>13</v>
      </c>
      <c r="B36">
        <v>1083</v>
      </c>
      <c r="C36">
        <v>1165</v>
      </c>
      <c r="D36">
        <v>3048</v>
      </c>
      <c r="E36">
        <v>3351</v>
      </c>
      <c r="F36">
        <v>378</v>
      </c>
      <c r="G36">
        <v>350</v>
      </c>
      <c r="J36" s="11" t="s">
        <v>37</v>
      </c>
      <c r="K36" s="11"/>
      <c r="L36" s="11"/>
      <c r="M36" s="11"/>
      <c r="N36" s="11"/>
      <c r="O36" s="11"/>
      <c r="P36" s="11"/>
      <c r="T36" s="1" t="s">
        <v>12</v>
      </c>
      <c r="U36" s="4">
        <v>0.30869999999999997</v>
      </c>
      <c r="V36" s="4">
        <v>0.29266999999999999</v>
      </c>
    </row>
    <row r="37" spans="1:36" x14ac:dyDescent="0.25">
      <c r="J37" s="13" t="s">
        <v>15</v>
      </c>
      <c r="K37" s="14"/>
      <c r="L37" s="14"/>
      <c r="M37" s="14"/>
      <c r="N37" s="14"/>
      <c r="O37" s="14"/>
      <c r="P37" s="15"/>
      <c r="T37" s="1" t="s">
        <v>13</v>
      </c>
      <c r="U37" s="4">
        <v>0.30884</v>
      </c>
      <c r="V37" s="4">
        <v>0.29311999999999999</v>
      </c>
      <c r="AD37" s="11" t="s">
        <v>37</v>
      </c>
      <c r="AE37" s="11"/>
      <c r="AF37" s="11"/>
      <c r="AG37" s="11"/>
      <c r="AH37" s="11"/>
      <c r="AI37" s="11"/>
      <c r="AJ37" s="11"/>
    </row>
    <row r="38" spans="1:36" ht="105" x14ac:dyDescent="0.25">
      <c r="J38" s="7"/>
      <c r="K38" s="1" t="s">
        <v>5</v>
      </c>
      <c r="L38" s="6" t="s">
        <v>6</v>
      </c>
      <c r="M38" s="1" t="s">
        <v>7</v>
      </c>
      <c r="N38" s="6" t="s">
        <v>8</v>
      </c>
      <c r="O38" s="1" t="s">
        <v>1</v>
      </c>
      <c r="P38" s="1" t="s">
        <v>0</v>
      </c>
      <c r="AD38" s="13" t="s">
        <v>2</v>
      </c>
      <c r="AE38" s="14"/>
      <c r="AF38" s="14"/>
      <c r="AG38" s="14"/>
      <c r="AH38" s="14"/>
      <c r="AI38" s="14"/>
      <c r="AJ38" s="15"/>
    </row>
    <row r="39" spans="1:36" ht="105" x14ac:dyDescent="0.25">
      <c r="J39" s="1" t="s">
        <v>9</v>
      </c>
      <c r="K39">
        <v>41.951999999999998</v>
      </c>
      <c r="L39">
        <v>39.173000000000002</v>
      </c>
      <c r="M39">
        <v>25.652999999999999</v>
      </c>
      <c r="N39">
        <v>20.594999999999999</v>
      </c>
      <c r="O39">
        <v>1.69</v>
      </c>
      <c r="P39">
        <v>0.79100000000000004</v>
      </c>
      <c r="AD39" s="7"/>
      <c r="AE39" s="1" t="s">
        <v>5</v>
      </c>
      <c r="AF39" s="6" t="s">
        <v>6</v>
      </c>
      <c r="AG39" s="1" t="s">
        <v>7</v>
      </c>
      <c r="AH39" s="6" t="s">
        <v>8</v>
      </c>
      <c r="AI39" s="1" t="s">
        <v>1</v>
      </c>
      <c r="AJ39" s="1" t="s">
        <v>0</v>
      </c>
    </row>
    <row r="40" spans="1:36" x14ac:dyDescent="0.25">
      <c r="J40" s="1" t="s">
        <v>10</v>
      </c>
      <c r="K40">
        <v>41.631999999999998</v>
      </c>
      <c r="L40">
        <v>43.381</v>
      </c>
      <c r="M40">
        <v>25.54</v>
      </c>
      <c r="N40">
        <v>20.923999999999999</v>
      </c>
      <c r="O40">
        <v>2.1680000000000001</v>
      </c>
      <c r="P40">
        <v>1.19</v>
      </c>
      <c r="AD40" s="1" t="s">
        <v>9</v>
      </c>
      <c r="AE40">
        <v>1</v>
      </c>
      <c r="AF40">
        <v>1</v>
      </c>
      <c r="AG40">
        <v>206</v>
      </c>
      <c r="AH40">
        <v>64</v>
      </c>
      <c r="AI40">
        <v>1</v>
      </c>
      <c r="AJ40">
        <v>1</v>
      </c>
    </row>
    <row r="41" spans="1:36" x14ac:dyDescent="0.25">
      <c r="C41" t="s">
        <v>3</v>
      </c>
      <c r="J41" s="1" t="s">
        <v>11</v>
      </c>
      <c r="K41">
        <v>44.345999999999997</v>
      </c>
      <c r="L41">
        <v>41.668999999999997</v>
      </c>
      <c r="M41">
        <v>44.002000000000002</v>
      </c>
      <c r="N41">
        <v>21.108000000000001</v>
      </c>
      <c r="O41">
        <v>2.4220000000000002</v>
      </c>
      <c r="P41">
        <v>1.0509999999999999</v>
      </c>
      <c r="T41" s="11" t="s">
        <v>36</v>
      </c>
      <c r="U41" s="11"/>
      <c r="V41" s="11"/>
      <c r="W41" s="11"/>
      <c r="X41" s="11"/>
      <c r="Y41" s="11"/>
      <c r="Z41" s="11"/>
      <c r="AD41" s="1" t="s">
        <v>10</v>
      </c>
      <c r="AE41">
        <v>1</v>
      </c>
      <c r="AF41">
        <v>1</v>
      </c>
      <c r="AG41">
        <v>320</v>
      </c>
      <c r="AH41">
        <v>99</v>
      </c>
      <c r="AI41">
        <v>1</v>
      </c>
      <c r="AJ41">
        <v>1</v>
      </c>
    </row>
    <row r="42" spans="1:36" x14ac:dyDescent="0.25">
      <c r="A42" s="11" t="s">
        <v>37</v>
      </c>
      <c r="B42" s="11"/>
      <c r="C42" s="11"/>
      <c r="D42" s="11"/>
      <c r="E42" s="11"/>
      <c r="F42" s="11"/>
      <c r="G42" s="11"/>
      <c r="J42" s="1" t="s">
        <v>12</v>
      </c>
      <c r="K42">
        <v>39.677</v>
      </c>
      <c r="L42">
        <v>36.965000000000003</v>
      </c>
      <c r="M42">
        <v>29.314</v>
      </c>
      <c r="N42">
        <v>23.15</v>
      </c>
      <c r="O42">
        <v>2.0840000000000001</v>
      </c>
      <c r="P42">
        <v>1.01</v>
      </c>
      <c r="T42" s="10" t="s">
        <v>16</v>
      </c>
      <c r="U42" s="10"/>
      <c r="V42" s="10"/>
      <c r="W42" s="10"/>
      <c r="X42" s="10"/>
      <c r="Y42" s="10"/>
      <c r="Z42" s="10"/>
      <c r="AD42" s="1" t="s">
        <v>11</v>
      </c>
      <c r="AE42">
        <v>1</v>
      </c>
      <c r="AF42">
        <v>1</v>
      </c>
      <c r="AG42">
        <v>530</v>
      </c>
      <c r="AH42">
        <v>140</v>
      </c>
      <c r="AI42">
        <v>1</v>
      </c>
      <c r="AJ42">
        <v>1</v>
      </c>
    </row>
    <row r="43" spans="1:36" ht="105" x14ac:dyDescent="0.25">
      <c r="A43" s="10" t="s">
        <v>4</v>
      </c>
      <c r="B43" s="10"/>
      <c r="C43" s="10"/>
      <c r="D43" s="10"/>
      <c r="E43" s="10"/>
      <c r="F43" s="10"/>
      <c r="G43" s="10"/>
      <c r="J43" s="1" t="s">
        <v>13</v>
      </c>
      <c r="K43">
        <v>41.779000000000003</v>
      </c>
      <c r="L43">
        <v>38.511000000000003</v>
      </c>
      <c r="M43">
        <v>34.465000000000003</v>
      </c>
      <c r="N43">
        <v>19.905999999999999</v>
      </c>
      <c r="O43">
        <v>2.2050000000000001</v>
      </c>
      <c r="P43">
        <v>1.113</v>
      </c>
      <c r="T43" s="5"/>
      <c r="U43" s="1" t="s">
        <v>5</v>
      </c>
      <c r="V43" s="6" t="s">
        <v>6</v>
      </c>
      <c r="W43" s="6" t="s">
        <v>7</v>
      </c>
      <c r="X43" s="6" t="s">
        <v>8</v>
      </c>
      <c r="Y43" s="1" t="s">
        <v>1</v>
      </c>
      <c r="Z43" s="1" t="s">
        <v>0</v>
      </c>
      <c r="AD43" s="1" t="s">
        <v>12</v>
      </c>
      <c r="AE43">
        <v>1</v>
      </c>
      <c r="AF43">
        <v>1</v>
      </c>
      <c r="AG43">
        <v>326</v>
      </c>
      <c r="AH43">
        <v>99</v>
      </c>
      <c r="AI43">
        <v>1</v>
      </c>
      <c r="AJ43">
        <v>1</v>
      </c>
    </row>
    <row r="44" spans="1:36" ht="105" x14ac:dyDescent="0.25">
      <c r="A44" s="5"/>
      <c r="B44" s="1" t="s">
        <v>5</v>
      </c>
      <c r="C44" s="6" t="s">
        <v>6</v>
      </c>
      <c r="D44" s="1" t="s">
        <v>7</v>
      </c>
      <c r="E44" s="6" t="s">
        <v>8</v>
      </c>
      <c r="F44" s="1" t="s">
        <v>1</v>
      </c>
      <c r="G44" s="1" t="s">
        <v>0</v>
      </c>
      <c r="T44" s="1" t="s">
        <v>9</v>
      </c>
      <c r="U44">
        <v>0</v>
      </c>
      <c r="V44">
        <v>0</v>
      </c>
      <c r="W44">
        <v>0</v>
      </c>
      <c r="X44">
        <v>0</v>
      </c>
      <c r="Y44">
        <v>1.1900000000000001E-2</v>
      </c>
      <c r="Z44">
        <v>8.6999999999999994E-3</v>
      </c>
      <c r="AD44" s="1" t="s">
        <v>13</v>
      </c>
      <c r="AE44">
        <v>1</v>
      </c>
      <c r="AF44">
        <v>1</v>
      </c>
      <c r="AG44">
        <v>596</v>
      </c>
      <c r="AH44">
        <v>115</v>
      </c>
      <c r="AI44">
        <v>1</v>
      </c>
      <c r="AJ44">
        <v>1</v>
      </c>
    </row>
    <row r="45" spans="1:36" x14ac:dyDescent="0.25">
      <c r="A45" s="1" t="s">
        <v>9</v>
      </c>
      <c r="B45">
        <v>1530</v>
      </c>
      <c r="C45">
        <v>823</v>
      </c>
      <c r="D45">
        <v>3832</v>
      </c>
      <c r="E45">
        <v>2072</v>
      </c>
      <c r="F45">
        <v>396</v>
      </c>
      <c r="G45">
        <v>341</v>
      </c>
      <c r="T45" s="1" t="s">
        <v>10</v>
      </c>
      <c r="U45">
        <v>0</v>
      </c>
      <c r="V45">
        <v>0</v>
      </c>
      <c r="W45">
        <v>0</v>
      </c>
      <c r="X45">
        <v>0</v>
      </c>
      <c r="Y45">
        <v>1.4E-2</v>
      </c>
      <c r="Z45">
        <v>8.0000000000000002E-3</v>
      </c>
    </row>
    <row r="46" spans="1:36" x14ac:dyDescent="0.25">
      <c r="A46" s="1" t="s">
        <v>10</v>
      </c>
      <c r="B46">
        <v>1280</v>
      </c>
      <c r="C46">
        <v>1262</v>
      </c>
      <c r="D46">
        <v>5138</v>
      </c>
      <c r="E46">
        <v>3105</v>
      </c>
      <c r="F46">
        <v>396</v>
      </c>
      <c r="G46">
        <v>349</v>
      </c>
      <c r="T46" s="1" t="s">
        <v>11</v>
      </c>
      <c r="U46">
        <v>0</v>
      </c>
      <c r="V46">
        <v>0</v>
      </c>
      <c r="W46">
        <v>0</v>
      </c>
      <c r="X46">
        <v>0</v>
      </c>
      <c r="Y46">
        <v>1.7000000000000001E-2</v>
      </c>
      <c r="Z46">
        <v>7.4999999999999997E-3</v>
      </c>
    </row>
    <row r="47" spans="1:36" x14ac:dyDescent="0.25">
      <c r="A47" s="1" t="s">
        <v>11</v>
      </c>
      <c r="B47">
        <v>1325</v>
      </c>
      <c r="C47">
        <v>1287</v>
      </c>
      <c r="D47">
        <v>8045</v>
      </c>
      <c r="E47">
        <v>3269</v>
      </c>
      <c r="F47">
        <v>388</v>
      </c>
      <c r="G47">
        <v>342</v>
      </c>
      <c r="T47" s="1" t="s">
        <v>12</v>
      </c>
      <c r="U47">
        <v>0</v>
      </c>
      <c r="V47">
        <v>0</v>
      </c>
      <c r="W47">
        <v>0</v>
      </c>
      <c r="X47">
        <v>0</v>
      </c>
      <c r="Y47">
        <v>1.29E-2</v>
      </c>
      <c r="Z47">
        <v>9.7999999999999997E-3</v>
      </c>
    </row>
    <row r="48" spans="1:36" x14ac:dyDescent="0.25">
      <c r="A48" s="1" t="s">
        <v>12</v>
      </c>
      <c r="B48">
        <v>1455</v>
      </c>
      <c r="C48">
        <v>1080</v>
      </c>
      <c r="D48">
        <v>5760</v>
      </c>
      <c r="E48">
        <v>2891</v>
      </c>
      <c r="F48">
        <v>339</v>
      </c>
      <c r="G48">
        <v>341</v>
      </c>
      <c r="J48" s="11" t="s">
        <v>39</v>
      </c>
      <c r="K48" s="11"/>
      <c r="L48" s="11"/>
      <c r="M48" s="11"/>
      <c r="N48" s="11"/>
      <c r="O48" s="11"/>
      <c r="P48" s="11"/>
      <c r="T48" s="1" t="s">
        <v>13</v>
      </c>
      <c r="U48">
        <v>0</v>
      </c>
      <c r="V48">
        <v>0</v>
      </c>
      <c r="W48">
        <v>0</v>
      </c>
      <c r="X48">
        <v>0</v>
      </c>
      <c r="Y48">
        <v>9.7999999999999997E-3</v>
      </c>
      <c r="Z48">
        <v>8.8000000000000005E-3</v>
      </c>
    </row>
    <row r="49" spans="1:36" x14ac:dyDescent="0.25">
      <c r="A49" s="1" t="s">
        <v>13</v>
      </c>
      <c r="B49">
        <v>1037</v>
      </c>
      <c r="C49">
        <v>1204</v>
      </c>
      <c r="D49">
        <v>7985</v>
      </c>
      <c r="E49">
        <v>2749</v>
      </c>
      <c r="F49">
        <v>367</v>
      </c>
      <c r="G49">
        <v>342</v>
      </c>
      <c r="J49" s="13" t="s">
        <v>15</v>
      </c>
      <c r="K49" s="14"/>
      <c r="L49" s="14"/>
      <c r="M49" s="14"/>
      <c r="N49" s="14"/>
      <c r="O49" s="14"/>
      <c r="P49" s="15"/>
      <c r="AD49" s="11" t="s">
        <v>39</v>
      </c>
      <c r="AE49" s="11"/>
      <c r="AF49" s="11"/>
      <c r="AG49" s="11"/>
      <c r="AH49" s="11"/>
      <c r="AI49" s="11"/>
      <c r="AJ49" s="11"/>
    </row>
    <row r="50" spans="1:36" ht="53.25" customHeight="1" x14ac:dyDescent="0.25">
      <c r="J50" s="7"/>
      <c r="K50" s="1" t="s">
        <v>5</v>
      </c>
      <c r="L50" s="6" t="s">
        <v>6</v>
      </c>
      <c r="M50" s="1" t="s">
        <v>7</v>
      </c>
      <c r="N50" s="6" t="s">
        <v>8</v>
      </c>
      <c r="O50" s="1" t="s">
        <v>1</v>
      </c>
      <c r="P50" s="1" t="s">
        <v>0</v>
      </c>
      <c r="T50" s="16" t="s">
        <v>17</v>
      </c>
      <c r="U50" s="16"/>
      <c r="V50" s="16"/>
      <c r="AD50" s="13" t="s">
        <v>2</v>
      </c>
      <c r="AE50" s="14"/>
      <c r="AF50" s="14"/>
      <c r="AG50" s="14"/>
      <c r="AH50" s="14"/>
      <c r="AI50" s="14"/>
      <c r="AJ50" s="15"/>
    </row>
    <row r="51" spans="1:36" ht="105" x14ac:dyDescent="0.25">
      <c r="J51" s="1" t="s">
        <v>9</v>
      </c>
      <c r="K51">
        <v>16.765999999999998</v>
      </c>
      <c r="L51">
        <v>15.045999999999999</v>
      </c>
      <c r="M51">
        <v>18.027999999999999</v>
      </c>
      <c r="N51">
        <v>10.189</v>
      </c>
      <c r="O51">
        <v>1.68</v>
      </c>
      <c r="P51">
        <v>0.72599999999999998</v>
      </c>
      <c r="U51" s="1" t="s">
        <v>0</v>
      </c>
      <c r="V51" s="1" t="s">
        <v>1</v>
      </c>
      <c r="AD51" s="7"/>
      <c r="AE51" s="1" t="s">
        <v>5</v>
      </c>
      <c r="AF51" s="6" t="s">
        <v>6</v>
      </c>
      <c r="AG51" s="1" t="s">
        <v>7</v>
      </c>
      <c r="AH51" s="6" t="s">
        <v>8</v>
      </c>
      <c r="AI51" s="1" t="s">
        <v>1</v>
      </c>
      <c r="AJ51" s="1" t="s">
        <v>0</v>
      </c>
    </row>
    <row r="52" spans="1:36" x14ac:dyDescent="0.25">
      <c r="J52" s="1" t="s">
        <v>10</v>
      </c>
      <c r="K52">
        <v>13.51</v>
      </c>
      <c r="L52">
        <v>16.561</v>
      </c>
      <c r="M52">
        <v>20.041</v>
      </c>
      <c r="N52">
        <v>10.41</v>
      </c>
      <c r="O52">
        <v>1.879</v>
      </c>
      <c r="P52">
        <v>0.94799999999999995</v>
      </c>
      <c r="T52" s="1" t="s">
        <v>9</v>
      </c>
      <c r="U52" s="4">
        <v>8.7139999999999995E-3</v>
      </c>
      <c r="V52" s="4">
        <v>9.3500000000000007E-3</v>
      </c>
      <c r="AD52" s="1" t="s">
        <v>9</v>
      </c>
      <c r="AE52">
        <v>1</v>
      </c>
      <c r="AF52">
        <v>1</v>
      </c>
      <c r="AG52">
        <v>184</v>
      </c>
      <c r="AH52">
        <v>69</v>
      </c>
      <c r="AI52">
        <v>1</v>
      </c>
      <c r="AJ52">
        <v>1</v>
      </c>
    </row>
    <row r="53" spans="1:36" x14ac:dyDescent="0.25">
      <c r="J53" s="1" t="s">
        <v>11</v>
      </c>
      <c r="K53">
        <v>19.542999999999999</v>
      </c>
      <c r="L53">
        <v>15.465</v>
      </c>
      <c r="M53">
        <v>19.827999999999999</v>
      </c>
      <c r="N53">
        <v>9.9420000000000002</v>
      </c>
      <c r="O53">
        <v>1.8660000000000001</v>
      </c>
      <c r="P53">
        <v>1.1919999999999999</v>
      </c>
      <c r="T53" s="1" t="s">
        <v>10</v>
      </c>
      <c r="U53" s="4">
        <v>8.0700000000000008E-3</v>
      </c>
      <c r="V53" s="4">
        <v>1.166E-2</v>
      </c>
      <c r="AD53" s="1" t="s">
        <v>10</v>
      </c>
      <c r="AE53">
        <v>1</v>
      </c>
      <c r="AF53">
        <v>1</v>
      </c>
      <c r="AG53">
        <v>335</v>
      </c>
      <c r="AH53">
        <v>63</v>
      </c>
      <c r="AI53">
        <v>1</v>
      </c>
      <c r="AJ53">
        <v>1</v>
      </c>
    </row>
    <row r="54" spans="1:36" x14ac:dyDescent="0.25">
      <c r="C54" t="s">
        <v>3</v>
      </c>
      <c r="D54" s="20" t="s">
        <v>38</v>
      </c>
      <c r="J54" s="1" t="s">
        <v>12</v>
      </c>
      <c r="K54">
        <v>17.795000000000002</v>
      </c>
      <c r="L54">
        <v>17.88</v>
      </c>
      <c r="M54">
        <v>22.196000000000002</v>
      </c>
      <c r="N54">
        <v>10.56</v>
      </c>
      <c r="O54">
        <v>2.11</v>
      </c>
      <c r="P54">
        <v>0.96599999999999997</v>
      </c>
      <c r="T54" s="1" t="s">
        <v>11</v>
      </c>
      <c r="U54" s="4">
        <v>7.5599999999999999E-3</v>
      </c>
      <c r="V54" s="4">
        <v>1.704E-2</v>
      </c>
      <c r="AD54" s="1" t="s">
        <v>11</v>
      </c>
      <c r="AE54">
        <v>1</v>
      </c>
      <c r="AF54">
        <v>1</v>
      </c>
      <c r="AG54">
        <v>423</v>
      </c>
      <c r="AH54">
        <v>32</v>
      </c>
      <c r="AI54">
        <v>1</v>
      </c>
      <c r="AJ54">
        <v>1</v>
      </c>
    </row>
    <row r="55" spans="1:36" x14ac:dyDescent="0.25">
      <c r="A55" s="11" t="s">
        <v>39</v>
      </c>
      <c r="B55" s="11"/>
      <c r="C55" s="11"/>
      <c r="D55" s="11"/>
      <c r="E55" s="11"/>
      <c r="F55" s="11"/>
      <c r="G55" s="11"/>
      <c r="J55" s="1" t="s">
        <v>13</v>
      </c>
      <c r="K55">
        <v>15.316000000000001</v>
      </c>
      <c r="L55">
        <v>15.913</v>
      </c>
      <c r="M55">
        <v>18.975000000000001</v>
      </c>
      <c r="N55">
        <v>9.2929999999999993</v>
      </c>
      <c r="O55">
        <v>1.968</v>
      </c>
      <c r="P55">
        <v>0.91400000000000003</v>
      </c>
      <c r="T55" s="1" t="s">
        <v>12</v>
      </c>
      <c r="U55" s="4">
        <v>9.8600000000000007E-3</v>
      </c>
      <c r="V55" s="4">
        <v>1.294E-2</v>
      </c>
      <c r="AD55" s="1" t="s">
        <v>12</v>
      </c>
      <c r="AE55">
        <v>1</v>
      </c>
      <c r="AF55">
        <v>1</v>
      </c>
      <c r="AG55">
        <v>432</v>
      </c>
      <c r="AH55">
        <v>66</v>
      </c>
      <c r="AI55">
        <v>1</v>
      </c>
      <c r="AJ55">
        <v>1</v>
      </c>
    </row>
    <row r="56" spans="1:36" x14ac:dyDescent="0.25">
      <c r="A56" s="10" t="s">
        <v>4</v>
      </c>
      <c r="B56" s="10"/>
      <c r="C56" s="10"/>
      <c r="D56" s="10"/>
      <c r="E56" s="10"/>
      <c r="F56" s="10"/>
      <c r="G56" s="10"/>
      <c r="T56" s="1" t="s">
        <v>13</v>
      </c>
      <c r="U56" s="4">
        <v>8.8400000000000006E-3</v>
      </c>
      <c r="V56" s="4">
        <v>9.8600000000000007E-3</v>
      </c>
      <c r="AD56" s="1" t="s">
        <v>13</v>
      </c>
      <c r="AE56">
        <v>1</v>
      </c>
      <c r="AF56">
        <v>1</v>
      </c>
      <c r="AG56">
        <v>342</v>
      </c>
      <c r="AH56">
        <v>87</v>
      </c>
      <c r="AI56">
        <v>1</v>
      </c>
      <c r="AJ56">
        <v>1</v>
      </c>
    </row>
    <row r="57" spans="1:36" ht="105" x14ac:dyDescent="0.25">
      <c r="A57" s="5"/>
      <c r="B57" s="1" t="s">
        <v>5</v>
      </c>
      <c r="C57" s="6" t="s">
        <v>6</v>
      </c>
      <c r="D57" s="1" t="s">
        <v>7</v>
      </c>
      <c r="E57" s="6" t="s">
        <v>8</v>
      </c>
      <c r="F57" s="1" t="s">
        <v>1</v>
      </c>
      <c r="G57" s="1" t="s">
        <v>0</v>
      </c>
    </row>
    <row r="58" spans="1:36" x14ac:dyDescent="0.25">
      <c r="A58" s="1" t="s">
        <v>9</v>
      </c>
      <c r="B58">
        <v>806</v>
      </c>
      <c r="C58">
        <v>659</v>
      </c>
      <c r="D58">
        <v>2734</v>
      </c>
      <c r="E58">
        <v>2356</v>
      </c>
      <c r="F58">
        <v>397</v>
      </c>
      <c r="G58">
        <v>353</v>
      </c>
    </row>
    <row r="59" spans="1:36" x14ac:dyDescent="0.25">
      <c r="A59" s="1" t="s">
        <v>10</v>
      </c>
      <c r="B59">
        <v>809</v>
      </c>
      <c r="C59">
        <v>910</v>
      </c>
      <c r="D59">
        <v>4889</v>
      </c>
      <c r="E59">
        <v>1592</v>
      </c>
      <c r="F59">
        <v>432</v>
      </c>
      <c r="G59">
        <v>341</v>
      </c>
    </row>
    <row r="60" spans="1:36" x14ac:dyDescent="0.25">
      <c r="A60" s="1" t="s">
        <v>11</v>
      </c>
      <c r="B60">
        <v>777</v>
      </c>
      <c r="C60">
        <v>863</v>
      </c>
      <c r="D60">
        <v>6186</v>
      </c>
      <c r="E60">
        <v>1649</v>
      </c>
      <c r="F60">
        <v>392</v>
      </c>
      <c r="G60">
        <v>341</v>
      </c>
      <c r="J60" s="12" t="s">
        <v>23</v>
      </c>
      <c r="K60" s="12"/>
      <c r="L60" s="12"/>
      <c r="M60" s="12"/>
      <c r="N60" s="12"/>
      <c r="O60" s="12"/>
      <c r="P60" s="12"/>
      <c r="T60" s="11" t="s">
        <v>37</v>
      </c>
      <c r="U60" s="11"/>
      <c r="V60" s="11"/>
      <c r="W60" s="11"/>
      <c r="X60" s="11"/>
      <c r="Y60" s="11"/>
      <c r="Z60" s="11"/>
      <c r="AD60" s="12" t="s">
        <v>23</v>
      </c>
      <c r="AE60" s="12"/>
      <c r="AF60" s="12"/>
      <c r="AG60" s="12"/>
      <c r="AH60" s="12"/>
      <c r="AI60" s="12"/>
      <c r="AJ60" s="12"/>
    </row>
    <row r="61" spans="1:36" x14ac:dyDescent="0.25">
      <c r="A61" s="1" t="s">
        <v>12</v>
      </c>
      <c r="B61">
        <v>953</v>
      </c>
      <c r="C61">
        <v>929</v>
      </c>
      <c r="D61">
        <v>6295</v>
      </c>
      <c r="E61">
        <v>2707</v>
      </c>
      <c r="F61">
        <v>391</v>
      </c>
      <c r="G61">
        <v>342</v>
      </c>
      <c r="J61" s="10" t="s">
        <v>4</v>
      </c>
      <c r="K61" s="10"/>
      <c r="L61" s="10"/>
      <c r="M61" s="10"/>
      <c r="N61" s="10"/>
      <c r="O61" s="10"/>
      <c r="P61" s="10"/>
      <c r="T61" s="10" t="s">
        <v>16</v>
      </c>
      <c r="U61" s="10"/>
      <c r="V61" s="10"/>
      <c r="W61" s="10"/>
      <c r="X61" s="10"/>
      <c r="Y61" s="10"/>
      <c r="Z61" s="10"/>
      <c r="AD61" s="13" t="s">
        <v>2</v>
      </c>
      <c r="AE61" s="14"/>
      <c r="AF61" s="14"/>
      <c r="AG61" s="14"/>
      <c r="AH61" s="14"/>
      <c r="AI61" s="14"/>
      <c r="AJ61" s="15"/>
    </row>
    <row r="62" spans="1:36" ht="105" x14ac:dyDescent="0.25">
      <c r="A62" s="1" t="s">
        <v>13</v>
      </c>
      <c r="B62">
        <v>840</v>
      </c>
      <c r="C62">
        <v>996</v>
      </c>
      <c r="D62">
        <v>5211</v>
      </c>
      <c r="E62">
        <v>2242</v>
      </c>
      <c r="F62">
        <v>377</v>
      </c>
      <c r="G62">
        <v>341</v>
      </c>
      <c r="J62" s="9"/>
      <c r="K62" s="1" t="s">
        <v>5</v>
      </c>
      <c r="L62" s="6" t="s">
        <v>6</v>
      </c>
      <c r="M62" s="1" t="s">
        <v>7</v>
      </c>
      <c r="N62" s="6" t="s">
        <v>8</v>
      </c>
      <c r="O62" s="1" t="s">
        <v>1</v>
      </c>
      <c r="P62" s="1" t="s">
        <v>0</v>
      </c>
      <c r="T62" s="5"/>
      <c r="U62" s="1" t="s">
        <v>5</v>
      </c>
      <c r="V62" s="6" t="s">
        <v>6</v>
      </c>
      <c r="W62" s="6" t="s">
        <v>7</v>
      </c>
      <c r="X62" s="6" t="s">
        <v>8</v>
      </c>
      <c r="Y62" s="1" t="s">
        <v>1</v>
      </c>
      <c r="Z62" s="1" t="s">
        <v>0</v>
      </c>
      <c r="AD62" s="9"/>
      <c r="AE62" s="1" t="s">
        <v>5</v>
      </c>
      <c r="AF62" s="6" t="s">
        <v>6</v>
      </c>
      <c r="AG62" s="1" t="s">
        <v>7</v>
      </c>
      <c r="AH62" s="6" t="s">
        <v>8</v>
      </c>
      <c r="AI62" s="1" t="s">
        <v>1</v>
      </c>
      <c r="AJ62" s="1" t="s">
        <v>0</v>
      </c>
    </row>
    <row r="63" spans="1:36" x14ac:dyDescent="0.25">
      <c r="J63" s="1">
        <v>0.7</v>
      </c>
      <c r="K63">
        <f t="shared" ref="K63:P63" si="0">AVERAGE(K5:K9)</f>
        <v>37.549399999999991</v>
      </c>
      <c r="L63">
        <f t="shared" si="0"/>
        <v>45.866599999999998</v>
      </c>
      <c r="M63">
        <f t="shared" si="0"/>
        <v>3.3466</v>
      </c>
      <c r="N63">
        <f t="shared" si="0"/>
        <v>1.2963999999999998</v>
      </c>
      <c r="O63">
        <f t="shared" si="0"/>
        <v>2.0701999999999998</v>
      </c>
      <c r="P63">
        <f t="shared" si="0"/>
        <v>1.3271999999999999</v>
      </c>
      <c r="T63" s="1" t="s">
        <v>9</v>
      </c>
      <c r="U63">
        <v>0</v>
      </c>
      <c r="V63">
        <v>0</v>
      </c>
      <c r="W63">
        <v>0.17499999999999999</v>
      </c>
      <c r="X63">
        <v>0</v>
      </c>
      <c r="Y63">
        <v>0.33700000000000002</v>
      </c>
      <c r="Z63">
        <v>0.34899999999999998</v>
      </c>
      <c r="AD63" s="2">
        <v>0.7</v>
      </c>
      <c r="AE63">
        <f t="shared" ref="AE63:AJ63" si="1">AVERAGE(AE5:AE9)</f>
        <v>1</v>
      </c>
      <c r="AF63">
        <f t="shared" si="1"/>
        <v>1</v>
      </c>
      <c r="AG63">
        <f t="shared" si="1"/>
        <v>92</v>
      </c>
      <c r="AH63">
        <f t="shared" si="1"/>
        <v>96.6</v>
      </c>
      <c r="AI63">
        <f t="shared" si="1"/>
        <v>1</v>
      </c>
      <c r="AJ63">
        <f t="shared" si="1"/>
        <v>1</v>
      </c>
    </row>
    <row r="64" spans="1:36" x14ac:dyDescent="0.25">
      <c r="J64" s="1">
        <v>0.3</v>
      </c>
      <c r="K64">
        <f t="shared" ref="K64:P64" si="2">AVERAGE(K17:K21)</f>
        <v>28.893000000000001</v>
      </c>
      <c r="L64">
        <f t="shared" si="2"/>
        <v>28.877400000000002</v>
      </c>
      <c r="M64">
        <f t="shared" si="2"/>
        <v>4.0167999999999999</v>
      </c>
      <c r="N64">
        <f t="shared" si="2"/>
        <v>1.2368000000000001</v>
      </c>
      <c r="O64">
        <f t="shared" si="2"/>
        <v>1.6149999999999998</v>
      </c>
      <c r="P64">
        <f t="shared" si="2"/>
        <v>1.4246000000000001</v>
      </c>
      <c r="T64" s="1" t="s">
        <v>10</v>
      </c>
      <c r="U64">
        <v>0</v>
      </c>
      <c r="V64">
        <v>0</v>
      </c>
      <c r="W64">
        <v>0.159</v>
      </c>
      <c r="X64">
        <v>0</v>
      </c>
      <c r="Y64">
        <v>0.33500000000000002</v>
      </c>
      <c r="Z64">
        <v>0.33400000000000002</v>
      </c>
      <c r="AD64" s="3">
        <v>0.3</v>
      </c>
      <c r="AE64">
        <f t="shared" ref="AE64:AJ64" si="3">AVERAGE(AE17:AE21)</f>
        <v>458.4</v>
      </c>
      <c r="AF64">
        <f t="shared" si="3"/>
        <v>405.8</v>
      </c>
      <c r="AG64">
        <f t="shared" si="3"/>
        <v>1332.6</v>
      </c>
      <c r="AH64">
        <f t="shared" si="3"/>
        <v>1047.2</v>
      </c>
      <c r="AI64">
        <f t="shared" si="3"/>
        <v>13.8</v>
      </c>
      <c r="AJ64">
        <f t="shared" si="3"/>
        <v>54</v>
      </c>
    </row>
    <row r="65" spans="1:36" x14ac:dyDescent="0.25">
      <c r="J65" s="1">
        <v>0</v>
      </c>
      <c r="K65">
        <f t="shared" ref="K65:P65" si="4">AVERAGE(K26:K30)</f>
        <v>44.338999999999999</v>
      </c>
      <c r="L65">
        <f t="shared" si="4"/>
        <v>41.443666666666665</v>
      </c>
      <c r="M65">
        <f t="shared" si="4"/>
        <v>3.0526666666666666</v>
      </c>
      <c r="N65">
        <f t="shared" si="4"/>
        <v>1.28</v>
      </c>
      <c r="O65">
        <f t="shared" si="4"/>
        <v>2.0539999999999998</v>
      </c>
      <c r="P65">
        <f t="shared" si="4"/>
        <v>0.91400000000000003</v>
      </c>
      <c r="T65" s="1" t="s">
        <v>11</v>
      </c>
      <c r="U65">
        <v>0</v>
      </c>
      <c r="V65">
        <v>0</v>
      </c>
      <c r="W65">
        <v>6.7599999999999993E-2</v>
      </c>
      <c r="X65">
        <v>0</v>
      </c>
      <c r="Y65">
        <v>0.34200000000000003</v>
      </c>
      <c r="Z65">
        <v>0.35199999999999998</v>
      </c>
      <c r="AD65" s="3">
        <v>0</v>
      </c>
      <c r="AE65">
        <f t="shared" ref="AE65:AJ65" si="5">AVERAGE(AE28:AE32)</f>
        <v>1</v>
      </c>
      <c r="AF65">
        <f t="shared" si="5"/>
        <v>1</v>
      </c>
      <c r="AG65">
        <f t="shared" si="5"/>
        <v>119.6</v>
      </c>
      <c r="AH65">
        <f t="shared" si="5"/>
        <v>109.8</v>
      </c>
      <c r="AI65">
        <f t="shared" si="5"/>
        <v>1</v>
      </c>
      <c r="AJ65">
        <f t="shared" si="5"/>
        <v>1</v>
      </c>
    </row>
    <row r="66" spans="1:36" x14ac:dyDescent="0.25">
      <c r="A66" s="12" t="s">
        <v>23</v>
      </c>
      <c r="B66" s="12"/>
      <c r="C66" s="12"/>
      <c r="D66" s="12"/>
      <c r="E66" s="12"/>
      <c r="F66" s="12"/>
      <c r="G66" s="12"/>
      <c r="J66" s="1">
        <v>-0.3</v>
      </c>
      <c r="K66">
        <f t="shared" ref="K66:P66" si="6">AVERAGE(K39:K43)</f>
        <v>41.877200000000002</v>
      </c>
      <c r="L66">
        <f t="shared" si="6"/>
        <v>39.939799999999998</v>
      </c>
      <c r="M66">
        <f t="shared" si="6"/>
        <v>31.794799999999999</v>
      </c>
      <c r="N66">
        <f t="shared" si="6"/>
        <v>21.136599999999998</v>
      </c>
      <c r="O66">
        <f t="shared" si="6"/>
        <v>2.1138000000000003</v>
      </c>
      <c r="P66">
        <f t="shared" si="6"/>
        <v>1.0309999999999999</v>
      </c>
      <c r="T66" s="1" t="s">
        <v>12</v>
      </c>
      <c r="U66">
        <v>0</v>
      </c>
      <c r="V66">
        <v>0</v>
      </c>
      <c r="W66">
        <v>0.15690000000000001</v>
      </c>
      <c r="X66">
        <v>0</v>
      </c>
      <c r="Y66">
        <v>0.34</v>
      </c>
      <c r="Z66">
        <v>0.35099999999999998</v>
      </c>
      <c r="AD66" s="3">
        <v>-0.3</v>
      </c>
      <c r="AE66">
        <f t="shared" ref="AE66:AJ66" si="7">AVERAGE(AE40:AE44)</f>
        <v>1</v>
      </c>
      <c r="AF66">
        <f t="shared" si="7"/>
        <v>1</v>
      </c>
      <c r="AG66">
        <f t="shared" si="7"/>
        <v>395.6</v>
      </c>
      <c r="AH66">
        <f t="shared" si="7"/>
        <v>103.4</v>
      </c>
      <c r="AI66">
        <f t="shared" si="7"/>
        <v>1</v>
      </c>
      <c r="AJ66">
        <f t="shared" si="7"/>
        <v>1</v>
      </c>
    </row>
    <row r="67" spans="1:36" x14ac:dyDescent="0.25">
      <c r="A67" s="10" t="s">
        <v>4</v>
      </c>
      <c r="B67" s="10"/>
      <c r="C67" s="10"/>
      <c r="D67" s="10"/>
      <c r="E67" s="10"/>
      <c r="F67" s="10"/>
      <c r="G67" s="10"/>
      <c r="J67" s="1">
        <v>-0.7</v>
      </c>
      <c r="K67">
        <f t="shared" ref="K67:P67" si="8">AVERAGE(K51:K55)</f>
        <v>16.586000000000002</v>
      </c>
      <c r="L67">
        <f t="shared" si="8"/>
        <v>16.172999999999998</v>
      </c>
      <c r="M67">
        <f t="shared" si="8"/>
        <v>19.813600000000001</v>
      </c>
      <c r="N67">
        <f t="shared" si="8"/>
        <v>10.078799999999999</v>
      </c>
      <c r="O67">
        <f t="shared" si="8"/>
        <v>1.9006000000000001</v>
      </c>
      <c r="P67">
        <f t="shared" si="8"/>
        <v>0.94919999999999993</v>
      </c>
      <c r="T67" s="1" t="s">
        <v>13</v>
      </c>
      <c r="U67">
        <v>0</v>
      </c>
      <c r="V67">
        <v>0</v>
      </c>
      <c r="W67">
        <v>0.158</v>
      </c>
      <c r="X67">
        <v>0</v>
      </c>
      <c r="Y67">
        <v>0.34300000000000003</v>
      </c>
      <c r="Z67">
        <v>0.35499999999999998</v>
      </c>
      <c r="AD67" s="3">
        <v>-0.7</v>
      </c>
      <c r="AE67">
        <f t="shared" ref="AE67:AJ67" si="9">AVERAGE(AE52:AE56)</f>
        <v>1</v>
      </c>
      <c r="AF67">
        <f t="shared" si="9"/>
        <v>1</v>
      </c>
      <c r="AG67">
        <f t="shared" si="9"/>
        <v>343.2</v>
      </c>
      <c r="AH67">
        <f t="shared" si="9"/>
        <v>63.4</v>
      </c>
      <c r="AI67">
        <f t="shared" si="9"/>
        <v>1</v>
      </c>
      <c r="AJ67">
        <f t="shared" si="9"/>
        <v>1</v>
      </c>
    </row>
    <row r="68" spans="1:36" ht="105" x14ac:dyDescent="0.25">
      <c r="A68" s="9"/>
      <c r="B68" s="1" t="s">
        <v>5</v>
      </c>
      <c r="C68" s="6" t="s">
        <v>6</v>
      </c>
      <c r="D68" s="1" t="s">
        <v>7</v>
      </c>
      <c r="E68" s="6" t="s">
        <v>8</v>
      </c>
      <c r="F68" s="1" t="s">
        <v>1</v>
      </c>
      <c r="G68" s="1" t="s">
        <v>0</v>
      </c>
    </row>
    <row r="69" spans="1:36" x14ac:dyDescent="0.25">
      <c r="A69" s="2">
        <v>0.7</v>
      </c>
      <c r="B69">
        <f t="shared" ref="B69:G69" si="10">AVERAGE(B6:B10)</f>
        <v>1608.8</v>
      </c>
      <c r="C69">
        <f t="shared" si="10"/>
        <v>1296.5999999999999</v>
      </c>
      <c r="D69">
        <f t="shared" si="10"/>
        <v>2671.6</v>
      </c>
      <c r="E69">
        <f t="shared" si="10"/>
        <v>2822.4</v>
      </c>
      <c r="F69">
        <f t="shared" si="10"/>
        <v>386.6</v>
      </c>
      <c r="G69">
        <f t="shared" si="10"/>
        <v>344.4</v>
      </c>
      <c r="T69" s="16" t="s">
        <v>17</v>
      </c>
      <c r="U69" s="16"/>
      <c r="V69" s="16"/>
    </row>
    <row r="70" spans="1:36" ht="75" x14ac:dyDescent="0.25">
      <c r="A70" s="3">
        <v>0.3</v>
      </c>
      <c r="B70">
        <f t="shared" ref="B70:G70" si="11">AVERAGE(B19:B23)</f>
        <v>2708.4</v>
      </c>
      <c r="C70">
        <f t="shared" si="11"/>
        <v>1525.6</v>
      </c>
      <c r="D70">
        <f t="shared" si="11"/>
        <v>3334.4</v>
      </c>
      <c r="E70">
        <f t="shared" si="11"/>
        <v>2905.8</v>
      </c>
      <c r="F70">
        <f t="shared" si="11"/>
        <v>389.2</v>
      </c>
      <c r="G70">
        <f t="shared" si="11"/>
        <v>343.2</v>
      </c>
      <c r="U70" s="1" t="s">
        <v>0</v>
      </c>
      <c r="V70" s="1" t="s">
        <v>1</v>
      </c>
      <c r="W70" s="6" t="s">
        <v>7</v>
      </c>
    </row>
    <row r="71" spans="1:36" x14ac:dyDescent="0.25">
      <c r="A71" s="3">
        <v>0</v>
      </c>
      <c r="B71">
        <f t="shared" ref="B71:G71" si="12">AVERAGE(B32:B36)</f>
        <v>1239.8</v>
      </c>
      <c r="C71">
        <f t="shared" si="12"/>
        <v>1177.8</v>
      </c>
      <c r="D71">
        <f t="shared" si="12"/>
        <v>2941.8</v>
      </c>
      <c r="E71">
        <f t="shared" si="12"/>
        <v>3069.2</v>
      </c>
      <c r="F71">
        <f t="shared" si="12"/>
        <v>364</v>
      </c>
      <c r="G71">
        <f t="shared" si="12"/>
        <v>345</v>
      </c>
      <c r="T71" s="1" t="s">
        <v>9</v>
      </c>
      <c r="U71" s="4">
        <v>0.408835</v>
      </c>
      <c r="V71" s="4">
        <v>0.39327000000000001</v>
      </c>
      <c r="W71" s="8">
        <v>0.30282999999999999</v>
      </c>
    </row>
    <row r="72" spans="1:36" x14ac:dyDescent="0.25">
      <c r="A72" s="3">
        <v>-0.3</v>
      </c>
      <c r="B72">
        <f t="shared" ref="B72:G72" si="13">AVERAGE(B45:B49)</f>
        <v>1325.4</v>
      </c>
      <c r="C72">
        <f t="shared" si="13"/>
        <v>1131.2</v>
      </c>
      <c r="D72">
        <f t="shared" si="13"/>
        <v>6152</v>
      </c>
      <c r="E72">
        <f t="shared" si="13"/>
        <v>2817.2</v>
      </c>
      <c r="F72">
        <f t="shared" si="13"/>
        <v>377.2</v>
      </c>
      <c r="G72">
        <f t="shared" si="13"/>
        <v>343</v>
      </c>
      <c r="T72" s="1" t="s">
        <v>10</v>
      </c>
      <c r="U72" s="4">
        <v>0.39076899999999998</v>
      </c>
      <c r="V72" s="4">
        <v>0.39088000000000001</v>
      </c>
      <c r="W72" s="8">
        <v>0.33334999999999998</v>
      </c>
    </row>
    <row r="73" spans="1:36" x14ac:dyDescent="0.25">
      <c r="A73" s="3">
        <v>-0.7</v>
      </c>
      <c r="B73">
        <f t="shared" ref="B73:G73" si="14">AVERAGE(B58:B62)</f>
        <v>837</v>
      </c>
      <c r="C73">
        <f t="shared" si="14"/>
        <v>871.4</v>
      </c>
      <c r="D73">
        <f t="shared" si="14"/>
        <v>5063</v>
      </c>
      <c r="E73">
        <f t="shared" si="14"/>
        <v>2109.1999999999998</v>
      </c>
      <c r="F73">
        <f t="shared" si="14"/>
        <v>397.8</v>
      </c>
      <c r="G73">
        <f t="shared" si="14"/>
        <v>343.6</v>
      </c>
      <c r="T73" s="1" t="s">
        <v>11</v>
      </c>
      <c r="U73" s="4">
        <v>0.41109000000000001</v>
      </c>
      <c r="V73" s="4">
        <v>0.39953</v>
      </c>
      <c r="W73" s="8">
        <v>0.18232000000000001</v>
      </c>
    </row>
    <row r="74" spans="1:36" x14ac:dyDescent="0.25">
      <c r="T74" s="1" t="s">
        <v>12</v>
      </c>
      <c r="U74" s="4">
        <v>0.40953000000000001</v>
      </c>
      <c r="V74" s="4">
        <v>0.39521000000000001</v>
      </c>
      <c r="W74" s="8">
        <v>0.28283000000000003</v>
      </c>
    </row>
    <row r="75" spans="1:36" x14ac:dyDescent="0.25">
      <c r="T75" s="1" t="s">
        <v>13</v>
      </c>
      <c r="U75" s="4">
        <v>0.41572999999999999</v>
      </c>
      <c r="V75" s="4">
        <v>0.39983000000000002</v>
      </c>
      <c r="W75" s="8">
        <v>0.18848000000000001</v>
      </c>
    </row>
    <row r="79" spans="1:36" x14ac:dyDescent="0.25">
      <c r="T79" s="11" t="s">
        <v>39</v>
      </c>
      <c r="U79" s="11"/>
      <c r="V79" s="11"/>
      <c r="W79" s="11"/>
      <c r="X79" s="11"/>
      <c r="Y79" s="11"/>
      <c r="Z79" s="11"/>
    </row>
    <row r="80" spans="1:36" x14ac:dyDescent="0.25">
      <c r="T80" s="10" t="s">
        <v>16</v>
      </c>
      <c r="U80" s="10"/>
      <c r="V80" s="10"/>
      <c r="W80" s="10"/>
      <c r="X80" s="10"/>
      <c r="Y80" s="10"/>
      <c r="Z80" s="10"/>
    </row>
    <row r="81" spans="20:26" ht="105" x14ac:dyDescent="0.25">
      <c r="T81" s="5"/>
      <c r="U81" s="1" t="s">
        <v>5</v>
      </c>
      <c r="V81" s="6" t="s">
        <v>6</v>
      </c>
      <c r="W81" s="6" t="s">
        <v>7</v>
      </c>
      <c r="X81" s="6" t="s">
        <v>8</v>
      </c>
      <c r="Y81" s="1" t="s">
        <v>1</v>
      </c>
      <c r="Z81" s="1" t="s">
        <v>0</v>
      </c>
    </row>
    <row r="82" spans="20:26" x14ac:dyDescent="0.25">
      <c r="T82" s="1" t="s">
        <v>9</v>
      </c>
      <c r="U82">
        <v>0</v>
      </c>
      <c r="V82">
        <v>0</v>
      </c>
      <c r="W82">
        <v>0.44500000000000001</v>
      </c>
      <c r="X82">
        <v>0</v>
      </c>
      <c r="Y82">
        <v>0.89900000000000002</v>
      </c>
      <c r="Z82">
        <v>0.72599999999999998</v>
      </c>
    </row>
    <row r="83" spans="20:26" x14ac:dyDescent="0.25">
      <c r="T83" s="1" t="s">
        <v>10</v>
      </c>
      <c r="U83">
        <v>0</v>
      </c>
      <c r="V83">
        <v>0</v>
      </c>
      <c r="W83">
        <v>0.38300000000000001</v>
      </c>
      <c r="X83">
        <v>0</v>
      </c>
      <c r="Y83">
        <v>0.91200000000000003</v>
      </c>
      <c r="Z83">
        <v>0.94799999999999995</v>
      </c>
    </row>
    <row r="84" spans="20:26" x14ac:dyDescent="0.25">
      <c r="T84" s="1" t="s">
        <v>11</v>
      </c>
      <c r="U84">
        <v>0</v>
      </c>
      <c r="V84">
        <v>0</v>
      </c>
      <c r="W84">
        <v>0.42</v>
      </c>
      <c r="X84">
        <v>0</v>
      </c>
      <c r="Y84">
        <v>0.90300000000000002</v>
      </c>
      <c r="Z84">
        <v>0.91100000000000003</v>
      </c>
    </row>
    <row r="85" spans="20:26" x14ac:dyDescent="0.25">
      <c r="T85" s="1" t="s">
        <v>12</v>
      </c>
      <c r="U85">
        <v>0</v>
      </c>
      <c r="V85">
        <v>0</v>
      </c>
      <c r="W85">
        <v>0.45300000000000001</v>
      </c>
      <c r="X85">
        <v>0</v>
      </c>
      <c r="Y85">
        <v>0.89800000000000002</v>
      </c>
      <c r="Z85">
        <v>0.9113</v>
      </c>
    </row>
    <row r="86" spans="20:26" x14ac:dyDescent="0.25">
      <c r="T86" s="1" t="s">
        <v>13</v>
      </c>
      <c r="U86">
        <v>0</v>
      </c>
      <c r="V86">
        <v>0</v>
      </c>
      <c r="W86">
        <v>0.44500000000000001</v>
      </c>
      <c r="X86">
        <v>0</v>
      </c>
      <c r="Y86">
        <v>0.91049999999999998</v>
      </c>
      <c r="Z86">
        <v>0.91400000000000003</v>
      </c>
    </row>
    <row r="88" spans="20:26" x14ac:dyDescent="0.25">
      <c r="T88" s="16" t="s">
        <v>17</v>
      </c>
      <c r="U88" s="16"/>
      <c r="V88" s="16"/>
    </row>
    <row r="89" spans="20:26" ht="75" x14ac:dyDescent="0.25">
      <c r="U89" s="1" t="s">
        <v>0</v>
      </c>
      <c r="V89" s="1" t="s">
        <v>1</v>
      </c>
      <c r="W89" s="6" t="s">
        <v>7</v>
      </c>
    </row>
    <row r="90" spans="20:26" x14ac:dyDescent="0.25">
      <c r="T90" s="1" t="s">
        <v>9</v>
      </c>
      <c r="U90" s="4">
        <v>3.8947099999999999</v>
      </c>
      <c r="V90" s="4">
        <v>3.9096299999999999</v>
      </c>
      <c r="W90" s="4">
        <v>2.8532060000000001</v>
      </c>
    </row>
    <row r="91" spans="20:26" x14ac:dyDescent="0.25">
      <c r="T91" s="1" t="s">
        <v>10</v>
      </c>
      <c r="U91" s="4">
        <v>3.8492199999999999</v>
      </c>
      <c r="V91" s="4">
        <v>3.9738600000000002</v>
      </c>
      <c r="W91" s="4">
        <v>2.3664999999999998</v>
      </c>
    </row>
    <row r="92" spans="20:26" x14ac:dyDescent="0.25">
      <c r="T92" s="1" t="s">
        <v>11</v>
      </c>
      <c r="U92" s="4">
        <v>3.9912299999999998</v>
      </c>
      <c r="V92" s="4">
        <v>3.9405700000000001</v>
      </c>
      <c r="W92" s="4">
        <v>1.1899</v>
      </c>
    </row>
    <row r="93" spans="20:26" x14ac:dyDescent="0.25">
      <c r="T93" s="1" t="s">
        <v>12</v>
      </c>
      <c r="U93" s="4">
        <v>4.0046999999999997</v>
      </c>
      <c r="V93" s="4">
        <v>3.89927</v>
      </c>
      <c r="W93" s="4">
        <v>1.8507499999999999</v>
      </c>
    </row>
    <row r="94" spans="20:26" x14ac:dyDescent="0.25">
      <c r="T94" s="1" t="s">
        <v>13</v>
      </c>
      <c r="U94" s="4">
        <v>4.0006500000000003</v>
      </c>
      <c r="V94" s="4">
        <v>3.9471699999999998</v>
      </c>
      <c r="W94" s="4">
        <v>1.42946</v>
      </c>
    </row>
    <row r="99" spans="20:26" x14ac:dyDescent="0.25">
      <c r="T99" s="12" t="s">
        <v>23</v>
      </c>
      <c r="U99" s="12"/>
      <c r="V99" s="12"/>
      <c r="W99" s="12"/>
      <c r="X99" s="12"/>
      <c r="Y99" s="12"/>
      <c r="Z99" s="12"/>
    </row>
    <row r="100" spans="20:26" x14ac:dyDescent="0.25">
      <c r="T100" s="10" t="s">
        <v>4</v>
      </c>
      <c r="U100" s="10"/>
      <c r="V100" s="10"/>
      <c r="W100" s="10"/>
      <c r="X100" s="10"/>
      <c r="Y100" s="10"/>
      <c r="Z100" s="10"/>
    </row>
    <row r="101" spans="20:26" x14ac:dyDescent="0.25">
      <c r="T101" s="9"/>
      <c r="U101" s="1" t="s">
        <v>7</v>
      </c>
      <c r="V101" s="1" t="s">
        <v>1</v>
      </c>
      <c r="W101" s="1" t="s">
        <v>0</v>
      </c>
    </row>
    <row r="102" spans="20:26" x14ac:dyDescent="0.25">
      <c r="T102" s="1">
        <v>0.7</v>
      </c>
      <c r="U102">
        <f>AVERAGE(W5:W9)</f>
        <v>0</v>
      </c>
      <c r="V102">
        <f>AVERAGE(Y5:Y9)</f>
        <v>0.48806000000000005</v>
      </c>
      <c r="W102">
        <f>AVERAGE(Z5:Z9)</f>
        <v>0.48327999999999999</v>
      </c>
    </row>
    <row r="103" spans="20:26" x14ac:dyDescent="0.25">
      <c r="T103" s="1">
        <v>0.3</v>
      </c>
      <c r="U103">
        <f>AVERAGE(W25:W29)</f>
        <v>0</v>
      </c>
      <c r="V103">
        <f>AVERAGE(Y25:Y29)</f>
        <v>0.25796000000000002</v>
      </c>
      <c r="W103">
        <f>AVERAGE(Z25:Z29)</f>
        <v>0.28450000000000003</v>
      </c>
    </row>
    <row r="104" spans="20:26" x14ac:dyDescent="0.25">
      <c r="T104" s="1">
        <v>0</v>
      </c>
      <c r="U104">
        <f>AVERAGE(W44:W48)</f>
        <v>0</v>
      </c>
      <c r="V104">
        <f>AVERAGE(Y44:Y48)</f>
        <v>1.3120000000000001E-2</v>
      </c>
      <c r="W104">
        <f>AVERAGE(Z44:Z48)</f>
        <v>8.5600000000000016E-3</v>
      </c>
    </row>
    <row r="105" spans="20:26" x14ac:dyDescent="0.25">
      <c r="T105" s="1">
        <v>-0.3</v>
      </c>
      <c r="U105">
        <f>AVERAGE(W63:W67)</f>
        <v>0.14330000000000001</v>
      </c>
      <c r="V105">
        <f>AVERAGE(Y63:Y67)</f>
        <v>0.33940000000000003</v>
      </c>
      <c r="W105">
        <f>AVERAGE(Z63:Z67)</f>
        <v>0.34820000000000001</v>
      </c>
    </row>
    <row r="106" spans="20:26" x14ac:dyDescent="0.25">
      <c r="T106" s="1">
        <v>-0.7</v>
      </c>
      <c r="U106">
        <f>AVERAGE(W82:W86)</f>
        <v>0.42919999999999997</v>
      </c>
      <c r="V106">
        <f>AVERAGE(Y82:Y86)</f>
        <v>0.90449999999999997</v>
      </c>
      <c r="W106">
        <f>AVERAGE(Z82:Z86)</f>
        <v>0.88205999999999984</v>
      </c>
    </row>
    <row r="110" spans="20:26" x14ac:dyDescent="0.25">
      <c r="T110" s="19" t="s">
        <v>17</v>
      </c>
      <c r="U110" s="19"/>
      <c r="V110" s="19"/>
    </row>
    <row r="111" spans="20:26" ht="75" x14ac:dyDescent="0.25">
      <c r="U111" s="1" t="s">
        <v>0</v>
      </c>
      <c r="V111" s="1" t="s">
        <v>1</v>
      </c>
      <c r="W111" s="6" t="s">
        <v>7</v>
      </c>
    </row>
    <row r="112" spans="20:26" x14ac:dyDescent="0.25">
      <c r="T112" s="1">
        <v>0.7</v>
      </c>
      <c r="U112" s="4">
        <f>AVERAGE(U13:U17)</f>
        <v>0.6776620000000001</v>
      </c>
      <c r="V112" s="4">
        <f>AVERAGE(V13:V17)</f>
        <v>0.68705380000000005</v>
      </c>
      <c r="W112" s="8">
        <v>0</v>
      </c>
    </row>
    <row r="113" spans="20:23" x14ac:dyDescent="0.25">
      <c r="T113" s="1">
        <v>0.3</v>
      </c>
      <c r="U113" s="4">
        <f>AVERAGE(U33:U37)</f>
        <v>0.308392</v>
      </c>
      <c r="V113" s="4">
        <f>AVERAGE(V33:V37)</f>
        <v>0.27985599999999999</v>
      </c>
      <c r="W113" s="8">
        <v>0</v>
      </c>
    </row>
    <row r="114" spans="20:23" x14ac:dyDescent="0.25">
      <c r="T114" s="1">
        <v>0</v>
      </c>
      <c r="U114" s="4">
        <f>AVERAGE(U52:U56)</f>
        <v>8.6087999999999998E-3</v>
      </c>
      <c r="V114" s="4">
        <f>AVERAGE(V52:V56)</f>
        <v>1.217E-2</v>
      </c>
      <c r="W114" s="8">
        <v>0</v>
      </c>
    </row>
    <row r="115" spans="20:23" x14ac:dyDescent="0.25">
      <c r="T115" s="1">
        <v>-0.3</v>
      </c>
      <c r="U115" s="4">
        <f>AVERAGE(U71:U75)</f>
        <v>0.40719079999999996</v>
      </c>
      <c r="V115" s="4">
        <f>AVERAGE(V71:V75)</f>
        <v>0.39574399999999998</v>
      </c>
      <c r="W115" s="8">
        <f>AVERAGE(W71:W75)</f>
        <v>0.25796199999999997</v>
      </c>
    </row>
    <row r="116" spans="20:23" x14ac:dyDescent="0.25">
      <c r="T116" s="1">
        <v>-0.7</v>
      </c>
      <c r="U116" s="4">
        <f>AVERAGE(U90:U94)</f>
        <v>3.948102</v>
      </c>
      <c r="V116" s="4">
        <f>AVERAGE(V90:V94)</f>
        <v>3.9340999999999995</v>
      </c>
      <c r="W116" s="8">
        <f>AVERAGE(W90:W94)</f>
        <v>1.9379632</v>
      </c>
    </row>
  </sheetData>
  <mergeCells count="58">
    <mergeCell ref="AD61:AJ61"/>
    <mergeCell ref="AD1:AJ1"/>
    <mergeCell ref="AD26:AJ26"/>
    <mergeCell ref="AD37:AJ37"/>
    <mergeCell ref="AD38:AJ38"/>
    <mergeCell ref="AD49:AJ49"/>
    <mergeCell ref="AD50:AJ50"/>
    <mergeCell ref="AD60:AJ60"/>
    <mergeCell ref="T88:V88"/>
    <mergeCell ref="T99:Z99"/>
    <mergeCell ref="T100:Z100"/>
    <mergeCell ref="T110:V110"/>
    <mergeCell ref="T1:Z1"/>
    <mergeCell ref="AD2:AJ2"/>
    <mergeCell ref="AD3:AJ3"/>
    <mergeCell ref="AD14:AJ14"/>
    <mergeCell ref="AD15:AJ15"/>
    <mergeCell ref="AD25:AJ25"/>
    <mergeCell ref="T50:V50"/>
    <mergeCell ref="T60:Z60"/>
    <mergeCell ref="T61:Z61"/>
    <mergeCell ref="T69:V69"/>
    <mergeCell ref="T79:Z79"/>
    <mergeCell ref="T80:Z80"/>
    <mergeCell ref="J61:P61"/>
    <mergeCell ref="J1:P1"/>
    <mergeCell ref="T2:Z2"/>
    <mergeCell ref="T3:Z3"/>
    <mergeCell ref="T11:V11"/>
    <mergeCell ref="T22:Z22"/>
    <mergeCell ref="T23:Z23"/>
    <mergeCell ref="T31:V31"/>
    <mergeCell ref="T41:Z41"/>
    <mergeCell ref="T42:Z42"/>
    <mergeCell ref="J26:P26"/>
    <mergeCell ref="J36:P36"/>
    <mergeCell ref="J37:P37"/>
    <mergeCell ref="J48:P48"/>
    <mergeCell ref="J49:P49"/>
    <mergeCell ref="J60:P60"/>
    <mergeCell ref="A1:G1"/>
    <mergeCell ref="J2:P2"/>
    <mergeCell ref="J3:P3"/>
    <mergeCell ref="J14:P14"/>
    <mergeCell ref="J15:P15"/>
    <mergeCell ref="J25:P25"/>
    <mergeCell ref="A42:G42"/>
    <mergeCell ref="A43:G43"/>
    <mergeCell ref="A55:G55"/>
    <mergeCell ref="A56:G56"/>
    <mergeCell ref="A66:G66"/>
    <mergeCell ref="A67:G67"/>
    <mergeCell ref="A3:G3"/>
    <mergeCell ref="A4:G4"/>
    <mergeCell ref="A16:G16"/>
    <mergeCell ref="A17:G17"/>
    <mergeCell ref="A29:G29"/>
    <mergeCell ref="A30:G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 1 PGP</vt:lpstr>
      <vt:lpstr>Experiment 1 email</vt:lpstr>
      <vt:lpstr>Experiment 1 4elt</vt:lpstr>
      <vt:lpstr>Experiment 2 PGP</vt:lpstr>
      <vt:lpstr>Experiment 2 4elt</vt:lpstr>
      <vt:lpstr>Experiment 2 email</vt:lpstr>
      <vt:lpstr>Experiment 3 PGP</vt:lpstr>
      <vt:lpstr>Experiment 3 email</vt:lpstr>
      <vt:lpstr>Experiment 3 4elt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AlHassan</dc:creator>
  <cp:lastModifiedBy>Alhassan Satii Aalshareedah</cp:lastModifiedBy>
  <dcterms:created xsi:type="dcterms:W3CDTF">2024-07-31T23:34:45Z</dcterms:created>
  <dcterms:modified xsi:type="dcterms:W3CDTF">2024-09-13T16:03:26Z</dcterms:modified>
</cp:coreProperties>
</file>
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KaMinPar_Java\Experiments data\Cardinality Skewness\"/>
    </mc:Choice>
  </mc:AlternateContent>
  <xr:revisionPtr revIDLastSave="0" documentId="13_ncr:1_{4EF746D0-62B1-464D-A914-748E7C5BC44E}" xr6:coauthVersionLast="47" xr6:coauthVersionMax="47" xr10:uidLastSave="{00000000-0000-0000-0000-000000000000}"/>
  <bookViews>
    <workbookView xWindow="28680" yWindow="-210" windowWidth="29040" windowHeight="15720" activeTab="1" xr2:uid="{00000000-000D-0000-FFFF-FFFF00000000}"/>
  </bookViews>
  <sheets>
    <sheet name="Edge Cuts" sheetId="1" r:id="rId1"/>
    <sheet name="Runtimes" sheetId="3" r:id="rId2"/>
    <sheet name="CCM" sheetId="5" r:id="rId3"/>
    <sheet name="Contiguit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4" i="1" l="1"/>
  <c r="F115" i="5" l="1"/>
  <c r="F114" i="5"/>
  <c r="F113" i="5"/>
  <c r="F112" i="5"/>
  <c r="F111" i="5"/>
  <c r="Q71" i="1"/>
  <c r="Q72" i="1"/>
  <c r="Q73" i="1"/>
  <c r="Q74" i="1"/>
  <c r="Q70" i="1"/>
  <c r="P71" i="1"/>
  <c r="P72" i="1"/>
  <c r="P73" i="1"/>
  <c r="P74" i="1"/>
  <c r="P70" i="1"/>
  <c r="I66" i="7"/>
  <c r="I65" i="7"/>
  <c r="I64" i="7"/>
  <c r="I63" i="7"/>
  <c r="I62" i="7"/>
  <c r="H66" i="7"/>
  <c r="H65" i="7"/>
  <c r="H64" i="7"/>
  <c r="H63" i="7"/>
  <c r="H62" i="7"/>
  <c r="F102" i="5"/>
  <c r="F103" i="5"/>
  <c r="F104" i="5"/>
  <c r="F105" i="5"/>
  <c r="F101" i="5"/>
  <c r="E105" i="5"/>
  <c r="E104" i="5"/>
  <c r="E103" i="5"/>
  <c r="E102" i="5"/>
  <c r="E101" i="5"/>
  <c r="I66" i="3"/>
  <c r="I65" i="3"/>
  <c r="I64" i="3"/>
  <c r="I63" i="3"/>
  <c r="I62" i="3"/>
  <c r="H66" i="3"/>
  <c r="H65" i="3"/>
  <c r="H64" i="3"/>
  <c r="H63" i="3"/>
  <c r="H62" i="3"/>
  <c r="I72" i="1"/>
  <c r="I71" i="1"/>
  <c r="S73" i="1" s="1"/>
  <c r="I70" i="1"/>
  <c r="S72" i="1" s="1"/>
  <c r="I69" i="1"/>
  <c r="S71" i="1" s="1"/>
  <c r="I68" i="1"/>
  <c r="S70" i="1" s="1"/>
  <c r="H72" i="1"/>
  <c r="R74" i="1" s="1"/>
  <c r="H71" i="1"/>
  <c r="R73" i="1" s="1"/>
  <c r="H70" i="1"/>
  <c r="R72" i="1" s="1"/>
  <c r="H69" i="1"/>
  <c r="R71" i="1" s="1"/>
  <c r="H68" i="1"/>
  <c r="R70" i="1" s="1"/>
  <c r="B62" i="7"/>
  <c r="G66" i="7"/>
  <c r="G65" i="7"/>
  <c r="G64" i="7"/>
  <c r="G63" i="7"/>
  <c r="G62" i="7"/>
  <c r="F66" i="7"/>
  <c r="F65" i="7"/>
  <c r="F64" i="7"/>
  <c r="F63" i="7"/>
  <c r="F62" i="7"/>
  <c r="E66" i="7"/>
  <c r="E65" i="7"/>
  <c r="E64" i="7"/>
  <c r="E63" i="7"/>
  <c r="E62" i="7"/>
  <c r="D66" i="7"/>
  <c r="D65" i="7"/>
  <c r="D64" i="7"/>
  <c r="D63" i="7"/>
  <c r="D62" i="7"/>
  <c r="C66" i="7"/>
  <c r="C65" i="7"/>
  <c r="C64" i="7"/>
  <c r="C63" i="7"/>
  <c r="C62" i="7"/>
  <c r="B66" i="7"/>
  <c r="B65" i="7"/>
  <c r="B64" i="7"/>
  <c r="B63" i="7"/>
  <c r="B111" i="5"/>
  <c r="C111" i="5"/>
  <c r="B112" i="5"/>
  <c r="C112" i="5"/>
  <c r="B113" i="5"/>
  <c r="C113" i="5"/>
  <c r="B114" i="5"/>
  <c r="C114" i="5"/>
  <c r="B115" i="5"/>
  <c r="C115" i="5"/>
  <c r="D114" i="5"/>
  <c r="D115" i="5"/>
  <c r="B104" i="5"/>
  <c r="B105" i="5"/>
  <c r="C105" i="5"/>
  <c r="D105" i="5"/>
  <c r="D104" i="5"/>
  <c r="D103" i="5"/>
  <c r="D102" i="5"/>
  <c r="D101" i="5"/>
  <c r="C101" i="5"/>
  <c r="C102" i="5"/>
  <c r="C103" i="5"/>
  <c r="C104" i="5"/>
  <c r="B103" i="5"/>
  <c r="B102" i="5"/>
  <c r="B101" i="5"/>
  <c r="G66" i="3"/>
  <c r="G63" i="3"/>
  <c r="G62" i="3"/>
  <c r="F66" i="3"/>
  <c r="F63" i="3"/>
  <c r="F62" i="3"/>
  <c r="E66" i="3"/>
  <c r="E63" i="3"/>
  <c r="E62" i="3"/>
  <c r="D66" i="3"/>
  <c r="D63" i="3"/>
  <c r="D62" i="3"/>
  <c r="C66" i="3"/>
  <c r="C63" i="3"/>
  <c r="C62" i="3"/>
  <c r="B66" i="3"/>
  <c r="B65" i="3"/>
  <c r="B63" i="3"/>
  <c r="B62" i="3"/>
  <c r="G65" i="3"/>
  <c r="F65" i="3"/>
  <c r="E65" i="3"/>
  <c r="D65" i="3"/>
  <c r="C65" i="3"/>
  <c r="G64" i="3"/>
  <c r="F64" i="3"/>
  <c r="E64" i="3"/>
  <c r="D64" i="3"/>
  <c r="C64" i="3"/>
  <c r="B64" i="3"/>
  <c r="G72" i="1"/>
  <c r="G71" i="1"/>
  <c r="G70" i="1"/>
  <c r="G69" i="1"/>
  <c r="G68" i="1"/>
  <c r="F72" i="1"/>
  <c r="F71" i="1"/>
  <c r="F70" i="1"/>
  <c r="F69" i="1"/>
  <c r="F68" i="1"/>
  <c r="E72" i="1"/>
  <c r="E71" i="1"/>
  <c r="E70" i="1"/>
  <c r="E69" i="1"/>
  <c r="E68" i="1"/>
  <c r="D72" i="1"/>
  <c r="D71" i="1"/>
  <c r="D70" i="1"/>
  <c r="D69" i="1"/>
  <c r="D68" i="1"/>
  <c r="C72" i="1"/>
  <c r="C71" i="1"/>
  <c r="C70" i="1"/>
  <c r="C69" i="1"/>
  <c r="C68" i="1"/>
  <c r="B72" i="1"/>
  <c r="B71" i="1"/>
  <c r="B70" i="1"/>
  <c r="B69" i="1"/>
  <c r="B68" i="1"/>
</calcChain>
</file>

<file path=xl/sharedStrings.xml><?xml version="1.0" encoding="utf-8"?>
<sst xmlns="http://schemas.openxmlformats.org/spreadsheetml/2006/main" count="411" uniqueCount="38">
  <si>
    <t>KaHIP</t>
  </si>
  <si>
    <t>KaMinPar</t>
  </si>
  <si>
    <t>Average Connected Components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</si>
  <si>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</si>
  <si>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</si>
  <si>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</si>
  <si>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</si>
  <si>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</si>
  <si>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</si>
  <si>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</si>
  <si>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</si>
  <si>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</si>
  <si>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</si>
  <si>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</si>
  <si>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Runtimes</t>
  </si>
  <si>
    <t>CCM</t>
  </si>
  <si>
    <t>Average percentage by which partitions missed the desired size</t>
  </si>
  <si>
    <t>Average Results</t>
  </si>
  <si>
    <t>K = 4, Graph = 4elt, Contraction = 70%, f = [0.7]</t>
  </si>
  <si>
    <t>-7409976534270938897</t>
  </si>
  <si>
    <t>K = 4, Graph = 4elt, Contraction = 70%, f = [0.3]</t>
  </si>
  <si>
    <t>K = 4, Graph = 4elt, Contraction = 70%, f = [0.0]</t>
  </si>
  <si>
    <t>K = 4, Graph = 4elt, Contraction = 70%, f = [-0.3]</t>
  </si>
  <si>
    <t>K = 4, Graph = 4elt, Contraction = 70%, f = [-0.7]</t>
  </si>
  <si>
    <t>-8727884418331750004</t>
  </si>
  <si>
    <t>Deep Multilevel, ε= 0.0</t>
  </si>
  <si>
    <t>Deep Multilevel, ε = 0.05</t>
  </si>
  <si>
    <t>partition sizes= [1486,2526,4294,7300]</t>
  </si>
  <si>
    <t>Partition Sizes = [2522,3279,4262,5543]</t>
  </si>
  <si>
    <t>Partition Sizes = 3901,3901,3902,3902]</t>
  </si>
  <si>
    <t>Partition Sizes = 6159,4311,3018,2118]</t>
  </si>
  <si>
    <t>Partition Sizes = 11010,3303,991,302]</t>
  </si>
  <si>
    <t>Deep Multilevel, ε = 5</t>
  </si>
  <si>
    <t>Deep Multilevel, ε= 0</t>
  </si>
  <si>
    <t>Deep Multilevel, ε =780</t>
  </si>
  <si>
    <t>Deep Multilevel, ε =100</t>
  </si>
  <si>
    <t>Deep NUGP, ε= 0</t>
  </si>
  <si>
    <t>Deep NUGP, ε 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</si>
</sst>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10" fontId="0" fillId="0" borderId="0" xfId="0" applyNumberFormat="1" applyAlignment="1">
      <alignment wrapText="1"/>
    </xf>
    <xf numFmtId="0" fontId="0" fillId="0" borderId="2" xfId="0" applyBorder="1" applyAlignment="1">
      <alignment vertical="center"/>
    </xf>
    <xf numFmtId="49" fontId="0" fillId="0" borderId="0" xfId="0" applyNumberFormat="1"/>
    <xf numFmtId="0" fontId="3" fillId="0" borderId="2" xfId="0" applyFont="1" applyBorder="1" applyAlignment="1">
      <alignment horizontal="center" vertical="top"/>
    </xf>
    <xf numFmtId="49" fontId="4" fillId="0" borderId="0" xfId="0" applyNumberFormat="1" applyFont="1"/>
    <xf numFmtId="9" fontId="0" fillId="0" borderId="0" xfId="1" applyFont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Cuts'!$F$67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Cuts'!$F$68:$F$72</c:f>
              <c:numCache>
                <c:formatCode>General</c:formatCode>
                <c:ptCount val="5"/>
                <c:pt idx="0">
                  <c:v>386.6</c:v>
                </c:pt>
                <c:pt idx="1">
                  <c:v>389.2</c:v>
                </c:pt>
                <c:pt idx="2">
                  <c:v>364</c:v>
                </c:pt>
                <c:pt idx="3">
                  <c:v>377.2</c:v>
                </c:pt>
                <c:pt idx="4">
                  <c:v>397.8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3B-4363-B0BC-B1DAC0FC1CBC}"/>
            </c:ext>
          </c:extLst>
        </c:ser>
        <c:ser>
          <c:idx val="5"/>
          <c:order val="5"/>
          <c:tx>
            <c:strRef>
              <c:f>'Edge Cuts'!$G$67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Cuts'!$G$68:$G$72</c:f>
              <c:numCache>
                <c:formatCode>General</c:formatCode>
                <c:ptCount val="5"/>
                <c:pt idx="0">
                  <c:v>344.4</c:v>
                </c:pt>
                <c:pt idx="1">
                  <c:v>343.2</c:v>
                </c:pt>
                <c:pt idx="2">
                  <c:v>345</c:v>
                </c:pt>
                <c:pt idx="3">
                  <c:v>343</c:v>
                </c:pt>
                <c:pt idx="4">
                  <c:v>343.6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3B-4363-B0BC-B1DAC0FC1CBC}"/>
            </c:ext>
          </c:extLst>
        </c:ser>
        <c:ser>
          <c:idx val="6"/>
          <c:order val="6"/>
          <c:tx>
            <c:strRef>
              <c:f>'Edge Cuts'!$H$67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Cuts'!$H$68:$H$72</c:f>
              <c:numCache>
                <c:formatCode>General</c:formatCode>
                <c:ptCount val="5"/>
                <c:pt idx="0">
                  <c:v>436.6</c:v>
                </c:pt>
                <c:pt idx="1">
                  <c:v>458.2</c:v>
                </c:pt>
                <c:pt idx="2">
                  <c:v>427.2</c:v>
                </c:pt>
                <c:pt idx="3">
                  <c:v>414.6</c:v>
                </c:pt>
                <c:pt idx="4">
                  <c:v>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0-441A-9FB8-1F83403F077F}"/>
            </c:ext>
          </c:extLst>
        </c:ser>
        <c:ser>
          <c:idx val="7"/>
          <c:order val="7"/>
          <c:tx>
            <c:strRef>
              <c:f>'Edge Cuts'!$I$67</c:f>
              <c:strCache>
                <c:ptCount val="1"/>
                <c:pt idx="0">
                  <c:v>Deep Multilevel, ε =780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Cuts'!$I$68:$I$72</c:f>
              <c:numCache>
                <c:formatCode>General</c:formatCode>
                <c:ptCount val="5"/>
                <c:pt idx="0">
                  <c:v>375.2</c:v>
                </c:pt>
                <c:pt idx="1">
                  <c:v>388.6</c:v>
                </c:pt>
                <c:pt idx="2">
                  <c:v>370.6</c:v>
                </c:pt>
                <c:pt idx="3">
                  <c:v>390</c:v>
                </c:pt>
                <c:pt idx="4">
                  <c:v>303.2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0-441A-9FB8-1F83403F0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922431"/>
        <c:axId val="15989190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Cuts'!$B$67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Cuts'!$B$68:$B$72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1608.8</c:v>
                      </c:pt>
                      <c:pt idx="1">
                        <c:v>2708.4</c:v>
                      </c:pt>
                      <c:pt idx="2">
                        <c:v>1239.8</c:v>
                      </c:pt>
                      <c:pt idx="3">
                        <c:v>1325.4</c:v>
                      </c:pt>
                      <c:pt idx="4">
                        <c:v>837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E3B-4363-B0BC-B1DAC0FC1CB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Cuts'!$C$67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Cuts'!$C$68:$C$72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1296.5999999999999</c:v>
                      </c:pt>
                      <c:pt idx="1">
                        <c:v>1525.6</c:v>
                      </c:pt>
                      <c:pt idx="2">
                        <c:v>1177.8</c:v>
                      </c:pt>
                      <c:pt idx="3">
                        <c:v>1131.2</c:v>
                      </c:pt>
                      <c:pt idx="4">
                        <c:v>871.4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E3B-4363-B0BC-B1DAC0FC1CB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Cuts'!$D$67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Cuts'!$D$68:$D$72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2671.6</c:v>
                      </c:pt>
                      <c:pt idx="1">
                        <c:v>3334.4</c:v>
                      </c:pt>
                      <c:pt idx="2">
                        <c:v>2941.8</c:v>
                      </c:pt>
                      <c:pt idx="3">
                        <c:v>6152</c:v>
                      </c:pt>
                      <c:pt idx="4">
                        <c:v>5063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E3B-4363-B0BC-B1DAC0FC1CB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Cuts'!$E$67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Cuts'!$A$68:$A$72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Cuts'!$E$68:$E$72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2822.4</c:v>
                      </c:pt>
                      <c:pt idx="1">
                        <c:v>2905.8</c:v>
                      </c:pt>
                      <c:pt idx="2">
                        <c:v>3069.2</c:v>
                      </c:pt>
                      <c:pt idx="3">
                        <c:v>2817.2</c:v>
                      </c:pt>
                      <c:pt idx="4">
                        <c:v>2109.1999999999998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E3B-4363-B0BC-B1DAC0FC1CBC}"/>
                  </c:ext>
                </c:extLst>
              </c15:ser>
            </c15:filteredScatterSeries>
          </c:ext>
        </c:extLst>
      </c:scatterChart>
      <c:valAx>
        <c:axId val="159892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19071"/>
        <c:crosses val="autoZero"/>
        <c:crossBetween val="midCat"/>
      </c:valAx>
      <c:valAx>
        <c:axId val="159891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2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with Different Partition Skenewss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Cuts'!$P$69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Cuts'!$O$70:$O$74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Cuts'!$P$70:$P$74</c:f>
              <c:numCache>
                <c:formatCode>0%</c:formatCode>
                <c:ptCount val="5"/>
                <c:pt idx="0">
                  <c:v>-0.12253193960511048</c:v>
                </c:pt>
                <c:pt idx="1">
                  <c:v>-0.13403263403263405</c:v>
                </c:pt>
                <c:pt idx="2">
                  <c:v>-5.5072463768115941E-2</c:v>
                </c:pt>
                <c:pt idx="3">
                  <c:v>-9.9708454810495589E-2</c:v>
                </c:pt>
                <c:pt idx="4">
                  <c:v>-0.1577415599534342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21-4B36-B201-1887985C1D68}"/>
            </c:ext>
          </c:extLst>
        </c:ser>
        <c:ser>
          <c:idx val="1"/>
          <c:order val="1"/>
          <c:tx>
            <c:strRef>
              <c:f>'Edge Cuts'!$Q$69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Cuts'!$O$70:$O$74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Cuts'!$Q$70:$Q$74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21-4B36-B201-1887985C1D68}"/>
            </c:ext>
          </c:extLst>
        </c:ser>
        <c:ser>
          <c:idx val="2"/>
          <c:order val="2"/>
          <c:tx>
            <c:strRef>
              <c:f>'Edge Cuts'!$R$69</c:f>
              <c:strCache>
                <c:ptCount val="1"/>
                <c:pt idx="0">
                  <c:v>Deep NUGP,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Cuts'!$O$70:$O$74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Cuts'!$R$70:$R$74</c:f>
              <c:numCache>
                <c:formatCode>0%</c:formatCode>
                <c:ptCount val="5"/>
                <c:pt idx="0">
                  <c:v>-0.26771196283391419</c:v>
                </c:pt>
                <c:pt idx="1">
                  <c:v>-0.33508158508158509</c:v>
                </c:pt>
                <c:pt idx="2">
                  <c:v>-0.23826086956521736</c:v>
                </c:pt>
                <c:pt idx="3">
                  <c:v>-0.20874635568513125</c:v>
                </c:pt>
                <c:pt idx="4">
                  <c:v>-0.17869615832363206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21-4B36-B201-1887985C1D68}"/>
            </c:ext>
          </c:extLst>
        </c:ser>
        <c:ser>
          <c:idx val="3"/>
          <c:order val="3"/>
          <c:tx>
            <c:strRef>
              <c:f>'Edge Cuts'!$S$69</c:f>
              <c:strCache>
                <c:ptCount val="1"/>
                <c:pt idx="0">
                  <c:v>Deep NUGP, ε relaxed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Cuts'!$O$70:$O$74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'Edge Cuts'!$S$70:$S$74</c:f>
              <c:numCache>
                <c:formatCode>0%</c:formatCode>
                <c:ptCount val="5"/>
                <c:pt idx="0">
                  <c:v>-8.9430894308943132E-2</c:v>
                </c:pt>
                <c:pt idx="1">
                  <c:v>-0.13228438228438238</c:v>
                </c:pt>
                <c:pt idx="2">
                  <c:v>-7.4202898550724705E-2</c:v>
                </c:pt>
                <c:pt idx="3">
                  <c:v>-0.13702623906705538</c:v>
                </c:pt>
                <c:pt idx="4">
                  <c:v>0.11757857974388833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21-4B36-B201-1887985C1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917487"/>
        <c:axId val="1148917967"/>
      </c:scatterChart>
      <c:valAx>
        <c:axId val="114891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17967"/>
        <c:crosses val="autoZero"/>
        <c:crossBetween val="midCat"/>
      </c:valAx>
      <c:valAx>
        <c:axId val="11489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Percentage of Improvement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1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Runtime with</a:t>
            </a:r>
            <a:r>
              <a:rPr lang="en-US" sz="2400" baseline="0"/>
              <a:t> Different Skewness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Runtimes!$F$62:$F$66</c:f>
              <c:numCache>
                <c:formatCode>General</c:formatCode>
                <c:ptCount val="5"/>
                <c:pt idx="0">
                  <c:v>2.0701999999999998</c:v>
                </c:pt>
                <c:pt idx="1">
                  <c:v>1.6149999999999998</c:v>
                </c:pt>
                <c:pt idx="2">
                  <c:v>2.0539999999999998</c:v>
                </c:pt>
                <c:pt idx="3">
                  <c:v>2.1138000000000003</c:v>
                </c:pt>
                <c:pt idx="4">
                  <c:v>1.9006000000000001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7E-410A-B859-A14F39412922}"/>
            </c:ext>
          </c:extLst>
        </c:ser>
        <c:ser>
          <c:idx val="5"/>
          <c:order val="5"/>
          <c:tx>
            <c:strRef>
              <c:f>Runtimes!$G$61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Runtimes!$G$62:$G$66</c:f>
              <c:numCache>
                <c:formatCode>General</c:formatCode>
                <c:ptCount val="5"/>
                <c:pt idx="0">
                  <c:v>1.3271999999999999</c:v>
                </c:pt>
                <c:pt idx="1">
                  <c:v>1.4246000000000001</c:v>
                </c:pt>
                <c:pt idx="2">
                  <c:v>0.91400000000000003</c:v>
                </c:pt>
                <c:pt idx="3">
                  <c:v>1.0309999999999999</c:v>
                </c:pt>
                <c:pt idx="4">
                  <c:v>0.94919999999999993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7E-410A-B859-A14F39412922}"/>
            </c:ext>
          </c:extLst>
        </c:ser>
        <c:ser>
          <c:idx val="6"/>
          <c:order val="6"/>
          <c:tx>
            <c:strRef>
              <c:f>Runtimes!$H$61</c:f>
              <c:strCache>
                <c:ptCount val="1"/>
                <c:pt idx="0">
                  <c:v>Deep NUGP,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Runtimes!$H$62:$H$66</c:f>
              <c:numCache>
                <c:formatCode>General</c:formatCode>
                <c:ptCount val="5"/>
                <c:pt idx="0">
                  <c:v>3.1916000000000002</c:v>
                </c:pt>
                <c:pt idx="1">
                  <c:v>3.0064000000000002</c:v>
                </c:pt>
                <c:pt idx="2">
                  <c:v>3.0417999999999998</c:v>
                </c:pt>
                <c:pt idx="3">
                  <c:v>3.1024000000000003</c:v>
                </c:pt>
                <c:pt idx="4">
                  <c:v>3.9652000000000003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D0-476D-8F47-1A9BF5446EB9}"/>
            </c:ext>
          </c:extLst>
        </c:ser>
        <c:ser>
          <c:idx val="7"/>
          <c:order val="7"/>
          <c:tx>
            <c:strRef>
              <c:f>Runtimes!$I$61</c:f>
              <c:strCache>
                <c:ptCount val="1"/>
                <c:pt idx="0">
                  <c:v>Deep NUGP, ε relaxed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Runtimes!$I$62:$I$66</c:f>
              <c:numCache>
                <c:formatCode>General</c:formatCode>
                <c:ptCount val="5"/>
                <c:pt idx="0">
                  <c:v>3.1394000000000002</c:v>
                </c:pt>
                <c:pt idx="1">
                  <c:v>3.2231999999999998</c:v>
                </c:pt>
                <c:pt idx="2">
                  <c:v>2.9817999999999998</c:v>
                </c:pt>
                <c:pt idx="3">
                  <c:v>3.0024000000000002</c:v>
                </c:pt>
                <c:pt idx="4">
                  <c:v>3.1444000000000001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D0-476D-8F47-1A9BF5446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3439"/>
        <c:axId val="131513886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Runtimes!$B$62:$B$66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37.549399999999991</c:v>
                      </c:pt>
                      <c:pt idx="1">
                        <c:v>28.893000000000001</c:v>
                      </c:pt>
                      <c:pt idx="2">
                        <c:v>44.338999999999999</c:v>
                      </c:pt>
                      <c:pt idx="3">
                        <c:v>41.877200000000002</c:v>
                      </c:pt>
                      <c:pt idx="4">
                        <c:v>16.586000000000002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37E-410A-B859-A14F3941292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45.866599999999998</c:v>
                      </c:pt>
                      <c:pt idx="1">
                        <c:v>28.877400000000002</c:v>
                      </c:pt>
                      <c:pt idx="2">
                        <c:v>41.443666666666665</c:v>
                      </c:pt>
                      <c:pt idx="3">
                        <c:v>39.939799999999998</c:v>
                      </c:pt>
                      <c:pt idx="4">
                        <c:v>16.172999999999998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37E-410A-B859-A14F3941292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Runtimes!$D$62:$D$66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3.3466</c:v>
                      </c:pt>
                      <c:pt idx="1">
                        <c:v>4.0167999999999999</c:v>
                      </c:pt>
                      <c:pt idx="2">
                        <c:v>3.0526666666666666</c:v>
                      </c:pt>
                      <c:pt idx="3">
                        <c:v>31.794799999999999</c:v>
                      </c:pt>
                      <c:pt idx="4">
                        <c:v>19.813600000000001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37E-410A-B859-A14F3941292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Runtimes!$E$62:$E$66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1.2963999999999998</c:v>
                      </c:pt>
                      <c:pt idx="1">
                        <c:v>1.2368000000000001</c:v>
                      </c:pt>
                      <c:pt idx="2">
                        <c:v>1.28</c:v>
                      </c:pt>
                      <c:pt idx="3">
                        <c:v>21.136599999999998</c:v>
                      </c:pt>
                      <c:pt idx="4">
                        <c:v>10.078799999999999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37E-410A-B859-A14F39412922}"/>
                  </c:ext>
                </c:extLst>
              </c15:ser>
            </c15:filteredScatterSeries>
          </c:ext>
        </c:extLst>
      </c:scatterChart>
      <c:valAx>
        <c:axId val="141169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38863"/>
        <c:crosses val="autoZero"/>
        <c:crossBetween val="midCat"/>
      </c:valAx>
      <c:valAx>
        <c:axId val="13151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3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Mean Deviation Percentage from Desired Partition Size</a:t>
            </a:r>
            <a:endParaRPr lang="en-US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CCM!$B$110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CCM!$B$111:$B$115</c:f>
              <c:numCache>
                <c:formatCode>0.00%</c:formatCode>
                <c:ptCount val="5"/>
                <c:pt idx="0">
                  <c:v>0.6776620000000001</c:v>
                </c:pt>
                <c:pt idx="1">
                  <c:v>0.308392</c:v>
                </c:pt>
                <c:pt idx="2">
                  <c:v>8.6087999999999998E-3</c:v>
                </c:pt>
                <c:pt idx="3">
                  <c:v>0.40719079999999996</c:v>
                </c:pt>
                <c:pt idx="4">
                  <c:v>3.948102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A1-4327-A70D-10FD7E794773}"/>
            </c:ext>
          </c:extLst>
        </c:ser>
        <c:ser>
          <c:idx val="1"/>
          <c:order val="1"/>
          <c:tx>
            <c:strRef>
              <c:f>CCM!$C$110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CCM!$C$111:$C$115</c:f>
              <c:numCache>
                <c:formatCode>0.00%</c:formatCode>
                <c:ptCount val="5"/>
                <c:pt idx="0">
                  <c:v>0.68705380000000005</c:v>
                </c:pt>
                <c:pt idx="1">
                  <c:v>0.27985599999999999</c:v>
                </c:pt>
                <c:pt idx="2">
                  <c:v>1.217E-2</c:v>
                </c:pt>
                <c:pt idx="3">
                  <c:v>0.39574399999999998</c:v>
                </c:pt>
                <c:pt idx="4">
                  <c:v>3.9340999999999995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A1-4327-A70D-10FD7E794773}"/>
            </c:ext>
          </c:extLst>
        </c:ser>
        <c:ser>
          <c:idx val="3"/>
          <c:order val="3"/>
          <c:tx>
            <c:strRef>
              <c:f>CCM!$E$110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CCM!$E$111:$E$115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E-4884-A06B-0AD46BB66364}"/>
            </c:ext>
          </c:extLst>
        </c:ser>
        <c:ser>
          <c:idx val="4"/>
          <c:order val="4"/>
          <c:tx>
            <c:strRef>
              <c:f>CCM!$F$110</c:f>
              <c:strCache>
                <c:ptCount val="1"/>
                <c:pt idx="0">
                  <c:v>Deep Multilevel, ε =780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CCM!$A$111:$A$115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CCM!$F$111:$F$115</c:f>
              <c:numCache>
                <c:formatCode>0.00%</c:formatCode>
                <c:ptCount val="5"/>
                <c:pt idx="0">
                  <c:v>0.157052</c:v>
                </c:pt>
                <c:pt idx="1">
                  <c:v>8.8782E-2</c:v>
                </c:pt>
                <c:pt idx="2">
                  <c:v>3.1933599999999999E-2</c:v>
                </c:pt>
                <c:pt idx="3">
                  <c:v>2.6620160000000004E-2</c:v>
                </c:pt>
                <c:pt idx="4">
                  <c:v>7.8049400000000005E-2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3E-4884-A06B-0AD46BB66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646815"/>
        <c:axId val="32264825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CCM!$D$110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CCM!$A$111:$A$115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CCM!$D$111:$D$115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0.25796199999999997</c:v>
                      </c:pt>
                      <c:pt idx="4">
                        <c:v>1.9379632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87A1-4327-A70D-10FD7E794773}"/>
                  </c:ext>
                </c:extLst>
              </c15:ser>
            </c15:filteredScatterSeries>
          </c:ext>
        </c:extLst>
      </c:scatterChart>
      <c:valAx>
        <c:axId val="3226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48255"/>
        <c:crosses val="autoZero"/>
        <c:crossBetween val="midCat"/>
      </c:valAx>
      <c:valAx>
        <c:axId val="3226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46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baseline="0">
                <a:effectLst/>
              </a:rPr>
              <a:t>Cardinality Compliance Metric (CCM)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CCM!$C$100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CCM!$C$101:$C$105</c:f>
              <c:numCache>
                <c:formatCode>0%</c:formatCode>
                <c:ptCount val="5"/>
                <c:pt idx="0">
                  <c:v>0.48806000000000005</c:v>
                </c:pt>
                <c:pt idx="1">
                  <c:v>0.25796000000000002</c:v>
                </c:pt>
                <c:pt idx="2">
                  <c:v>1.3120000000000001E-2</c:v>
                </c:pt>
                <c:pt idx="3">
                  <c:v>0.33940000000000003</c:v>
                </c:pt>
                <c:pt idx="4">
                  <c:v>0.90449999999999997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64-4819-BF25-D9AD0D613310}"/>
            </c:ext>
          </c:extLst>
        </c:ser>
        <c:ser>
          <c:idx val="2"/>
          <c:order val="2"/>
          <c:tx>
            <c:strRef>
              <c:f>CCM!$D$100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CCM!$D$101:$D$105</c:f>
              <c:numCache>
                <c:formatCode>0%</c:formatCode>
                <c:ptCount val="5"/>
                <c:pt idx="0">
                  <c:v>0.48327999999999999</c:v>
                </c:pt>
                <c:pt idx="1">
                  <c:v>0.28450000000000003</c:v>
                </c:pt>
                <c:pt idx="2">
                  <c:v>8.5600000000000016E-3</c:v>
                </c:pt>
                <c:pt idx="3">
                  <c:v>0.34820000000000001</c:v>
                </c:pt>
                <c:pt idx="4">
                  <c:v>0.88205999999999984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64-4819-BF25-D9AD0D613310}"/>
            </c:ext>
          </c:extLst>
        </c:ser>
        <c:ser>
          <c:idx val="3"/>
          <c:order val="3"/>
          <c:tx>
            <c:strRef>
              <c:f>CCM!$E$100</c:f>
              <c:strCache>
                <c:ptCount val="1"/>
                <c:pt idx="0">
                  <c:v>Deep NUGP, ε= 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CCM!$E$101:$E$105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09-4D77-A7B0-02708B25DB59}"/>
            </c:ext>
          </c:extLst>
        </c:ser>
        <c:ser>
          <c:idx val="4"/>
          <c:order val="4"/>
          <c:tx>
            <c:strRef>
              <c:f>CCM!$F$100</c:f>
              <c:strCache>
                <c:ptCount val="1"/>
                <c:pt idx="0">
                  <c:v>Deep NUGP, ε relaxed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CCM!$A$101:$A$105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CCM!$F$101:$F$105</c:f>
              <c:numCache>
                <c:formatCode>0%</c:formatCode>
                <c:ptCount val="5"/>
                <c:pt idx="0">
                  <c:v>0.10606</c:v>
                </c:pt>
                <c:pt idx="1">
                  <c:v>7.8972000000000001E-2</c:v>
                </c:pt>
                <c:pt idx="2">
                  <c:v>8.5916000000000006E-2</c:v>
                </c:pt>
                <c:pt idx="3">
                  <c:v>9.3916000000000013E-2</c:v>
                </c:pt>
                <c:pt idx="4">
                  <c:v>1.9438E-2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09-4D77-A7B0-02708B25D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660255"/>
        <c:axId val="3226688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CCM!$B$100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CCM!$A$101:$A$105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CCM!$B$101:$B$105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 formatCode="General">
                        <c:v>0</c:v>
                      </c:pt>
                      <c:pt idx="3">
                        <c:v>0.14330000000000001</c:v>
                      </c:pt>
                      <c:pt idx="4">
                        <c:v>0.42919999999999997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964-4819-BF25-D9AD0D613310}"/>
                  </c:ext>
                </c:extLst>
              </c15:ser>
            </c15:filteredScatterSeries>
          </c:ext>
        </c:extLst>
      </c:scatterChart>
      <c:valAx>
        <c:axId val="32266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Skewness</a:t>
                </a:r>
                <a:r>
                  <a:rPr lang="en-US" sz="2000" baseline="0"/>
                  <a:t> Value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68895"/>
        <c:crosses val="autoZero"/>
        <c:crossBetween val="midCat"/>
      </c:valAx>
      <c:valAx>
        <c:axId val="32266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60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Contiguity!$F$62:$F$66</c:f>
              <c:numCache>
                <c:formatCode>General</c:formatCode>
                <c:ptCount val="5"/>
                <c:pt idx="0">
                  <c:v>1</c:v>
                </c:pt>
                <c:pt idx="1">
                  <c:v>13.8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88-471B-96F8-6FF594C22D99}"/>
            </c:ext>
          </c:extLst>
        </c:ser>
        <c:ser>
          <c:idx val="5"/>
          <c:order val="5"/>
          <c:tx>
            <c:strRef>
              <c:f>Contiguity!$G$61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Contiguity!$G$62:$G$66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88-471B-96F8-6FF594C22D99}"/>
            </c:ext>
          </c:extLst>
        </c:ser>
        <c:ser>
          <c:idx val="6"/>
          <c:order val="6"/>
          <c:tx>
            <c:strRef>
              <c:f>Contiguity!$H$61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Contiguity!$H$62:$H$66</c:f>
              <c:numCache>
                <c:formatCode>General</c:formatCode>
                <c:ptCount val="5"/>
                <c:pt idx="0">
                  <c:v>247.4</c:v>
                </c:pt>
                <c:pt idx="1">
                  <c:v>169.6</c:v>
                </c:pt>
                <c:pt idx="2">
                  <c:v>4.5999999999999996</c:v>
                </c:pt>
                <c:pt idx="3">
                  <c:v>157.80000000000001</c:v>
                </c:pt>
                <c:pt idx="4">
                  <c:v>137.4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69-446D-8AEF-68C7456B5B89}"/>
            </c:ext>
          </c:extLst>
        </c:ser>
        <c:ser>
          <c:idx val="7"/>
          <c:order val="7"/>
          <c:tx>
            <c:strRef>
              <c:f>Contiguity!$I$61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Contiguity!$I$62:$I$66</c:f>
              <c:numCache>
                <c:formatCode>General</c:formatCode>
                <c:ptCount val="5"/>
                <c:pt idx="0">
                  <c:v>64.599999999999994</c:v>
                </c:pt>
                <c:pt idx="1">
                  <c:v>43.6</c:v>
                </c:pt>
                <c:pt idx="2">
                  <c:v>4</c:v>
                </c:pt>
                <c:pt idx="3">
                  <c:v>86.6</c:v>
                </c:pt>
                <c:pt idx="4">
                  <c:v>43.4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69-446D-8AEF-68C7456B5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671295"/>
        <c:axId val="32264633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Contiguity!$B$62:$B$66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458.4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888-471B-96F8-6FF594C22D9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405.8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888-471B-96F8-6FF594C22D9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Contiguity!$D$62:$D$66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92</c:v>
                      </c:pt>
                      <c:pt idx="1">
                        <c:v>1332.6</c:v>
                      </c:pt>
                      <c:pt idx="2">
                        <c:v>119.6</c:v>
                      </c:pt>
                      <c:pt idx="3">
                        <c:v>395.6</c:v>
                      </c:pt>
                      <c:pt idx="4">
                        <c:v>343.2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888-471B-96F8-6FF594C22D9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</c:v>
                      </c:pt>
                      <c:pt idx="1">
                        <c:v>0.3</c:v>
                      </c:pt>
                      <c:pt idx="2">
                        <c:v>0</c:v>
                      </c:pt>
                      <c:pt idx="3">
                        <c:v>-0.3</c:v>
                      </c:pt>
                      <c:pt idx="4">
                        <c:v>-0.7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Contiguity!$E$62:$E$66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96.6</c:v>
                      </c:pt>
                      <c:pt idx="1">
                        <c:v>1047.2</c:v>
                      </c:pt>
                      <c:pt idx="2">
                        <c:v>109.8</c:v>
                      </c:pt>
                      <c:pt idx="3">
                        <c:v>103.4</c:v>
                      </c:pt>
                      <c:pt idx="4">
                        <c:v>63.4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888-471B-96F8-6FF594C22D99}"/>
                  </c:ext>
                </c:extLst>
              </c15:ser>
            </c15:filteredScatterSeries>
          </c:ext>
        </c:extLst>
      </c:scatterChart>
      <c:valAx>
        <c:axId val="32267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Skewness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46335"/>
        <c:crosses val="autoZero"/>
        <c:crossBetween val="midCat"/>
      </c:valAx>
      <c:valAx>
        <c:axId val="32264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67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1341342</xdr:colOff>
      <xdr:row>76</xdr:row>
      <xdr:rowOff>171168</xdr:rowOff>
    </xdr:from>
    <xdr:to>
      <xdr:col>7</xdr:col>
      <xdr:colOff>1255058</xdr:colOff>
      <xdr:row>100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E6356-DF26-5465-3D27-F925BA06C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1103779</xdr:colOff>
      <xdr:row>80</xdr:row>
      <xdr:rowOff>45943</xdr:rowOff>
    </xdr:from>
    <xdr:to>
      <xdr:col>19</xdr:col>
      <xdr:colOff>257735</xdr:colOff>
      <xdr:row>103</xdr:row>
      <xdr:rowOff>89646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437A73-6E3A-8645-9946-93F4BA85B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1401536</xdr:colOff>
      <xdr:row>67</xdr:row>
      <xdr:rowOff>163286</xdr:rowOff>
    </xdr:from>
    <xdr:to>
      <xdr:col>19</xdr:col>
      <xdr:colOff>546155</xdr:colOff>
      <xdr:row>90</xdr:row>
      <xdr:rowOff>181786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16560F-2F47-E9EA-0302-2656AD7B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0" y="15212786"/>
          <a:ext cx="6819048" cy="4400000"/>
        </a:xfrm>
        <a:prstGeom prst="rect">
          <a:avLst/>
        </a:prstGeom>
      </xdr:spPr>
    </xdr:pic>
    <xdr:clientData/>
  </xdr:twoCellAnchor>
  <xdr:twoCellAnchor>
    <xdr:from>
      <xdr:col>2</xdr:col>
      <xdr:colOff>671513</xdr:colOff>
      <xdr:row>70</xdr:row>
      <xdr:rowOff>21090</xdr:rowOff>
    </xdr:from>
    <xdr:to>
      <xdr:col>7</xdr:col>
      <xdr:colOff>462643</xdr:colOff>
      <xdr:row>93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7B931-A80D-E7FE-652D-5DB13E46D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1292677</xdr:colOff>
      <xdr:row>145</xdr:row>
      <xdr:rowOff>176211</xdr:rowOff>
    </xdr:from>
    <xdr:to>
      <xdr:col>7</xdr:col>
      <xdr:colOff>1347106</xdr:colOff>
      <xdr:row>168</xdr:row>
      <xdr:rowOff>176892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80B15A-9190-8B9E-2342-96942D8B4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2000928</xdr:colOff>
      <xdr:row>116</xdr:row>
      <xdr:rowOff>139474</xdr:rowOff>
    </xdr:from>
    <xdr:to>
      <xdr:col>10</xdr:col>
      <xdr:colOff>435429</xdr:colOff>
      <xdr:row>139</xdr:row>
      <xdr:rowOff>122465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FB648-56A4-4BA7-7CAB-B07C509A6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73</xdr:row>
      <xdr:rowOff>11565</xdr:rowOff>
    </xdr:from>
    <xdr:to>
      <xdr:col>8</xdr:col>
      <xdr:colOff>666750</xdr:colOff>
      <xdr:row>95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306F7-5677-FF0D-0983-41D9CAC7B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opLeftCell="I67" zoomScale="85" zoomScaleNormal="85" workbookViewId="0">
      <selection activeCell="X82" sqref="X82"/>
    </sheetView>
  </sheetViews>
  <sheetFormatPr defaultRowHeight="15" x14ac:dyDescent="0.25"/>
  <cols>
    <col min="2" max="2" width="15.85546875" bestFit="1" customWidth="1"/>
    <col min="3" max="3" width="22.140625" customWidth="1"/>
    <col min="4" max="4" width="38.28515625" bestFit="1" customWidth="1"/>
    <col min="5" max="5" width="23.570312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C1" t="s">
        <v>3</v>
      </c>
      <c r="D1" s="10" t="s">
        <v>19</v>
      </c>
      <c r="E1" s="10" t="s">
        <v>27</v>
      </c>
    </row>
    <row r="2" spans="1:9" x14ac:dyDescent="0.25">
      <c r="A2" s="15" t="s">
        <v>18</v>
      </c>
      <c r="B2" s="15"/>
      <c r="C2" s="15"/>
      <c r="D2" s="15"/>
      <c r="E2" s="15"/>
      <c r="F2" s="15"/>
      <c r="G2" s="15"/>
    </row>
    <row r="3" spans="1:9" x14ac:dyDescent="0.25">
      <c r="A3" s="14" t="s">
        <v>4</v>
      </c>
      <c r="B3" s="14"/>
      <c r="C3" s="14"/>
      <c r="D3" s="14"/>
      <c r="E3" s="14"/>
      <c r="F3" s="14"/>
      <c r="G3" s="14"/>
    </row>
    <row r="4" spans="1:9" ht="45" x14ac:dyDescent="0.25">
      <c r="A4" s="5"/>
      <c r="B4" s="1" t="s">
        <v>5</v>
      </c>
      <c r="C4" s="6" t="s">
        <v>6</v>
      </c>
      <c r="D4" s="1" t="s">
        <v>7</v>
      </c>
      <c r="E4" s="6" t="s">
        <v>8</v>
      </c>
      <c r="F4" s="1" t="s">
        <v>1</v>
      </c>
      <c r="G4" s="1" t="s">
        <v>0</v>
      </c>
      <c r="H4" s="2" t="s">
        <v>25</v>
      </c>
      <c r="I4" s="11" t="s">
        <v>34</v>
      </c>
    </row>
    <row r="5" spans="1:9" x14ac:dyDescent="0.25">
      <c r="A5" s="1" t="s">
        <v>9</v>
      </c>
      <c r="B5">
        <v>1348</v>
      </c>
      <c r="C5">
        <v>1558</v>
      </c>
      <c r="D5">
        <v>3118</v>
      </c>
      <c r="E5">
        <v>2907</v>
      </c>
      <c r="F5">
        <v>355</v>
      </c>
      <c r="G5">
        <v>341</v>
      </c>
      <c r="H5">
        <v>410</v>
      </c>
      <c r="I5">
        <v>316</v>
      </c>
    </row>
    <row r="6" spans="1:9" x14ac:dyDescent="0.25">
      <c r="A6" s="1" t="s">
        <v>10</v>
      </c>
      <c r="B6">
        <v>1506</v>
      </c>
      <c r="C6">
        <v>1405</v>
      </c>
      <c r="D6">
        <v>2870</v>
      </c>
      <c r="E6">
        <v>3073</v>
      </c>
      <c r="F6">
        <v>371</v>
      </c>
      <c r="G6">
        <v>357</v>
      </c>
      <c r="H6">
        <v>460</v>
      </c>
      <c r="I6">
        <v>424</v>
      </c>
    </row>
    <row r="7" spans="1:9" x14ac:dyDescent="0.25">
      <c r="A7" s="1" t="s">
        <v>11</v>
      </c>
      <c r="B7">
        <v>1670</v>
      </c>
      <c r="C7">
        <v>1110</v>
      </c>
      <c r="D7">
        <v>2740</v>
      </c>
      <c r="E7">
        <v>3142</v>
      </c>
      <c r="F7">
        <v>388</v>
      </c>
      <c r="G7">
        <v>341</v>
      </c>
      <c r="H7">
        <v>474</v>
      </c>
      <c r="I7">
        <v>357</v>
      </c>
    </row>
    <row r="8" spans="1:9" x14ac:dyDescent="0.25">
      <c r="A8" s="1" t="s">
        <v>12</v>
      </c>
      <c r="B8">
        <v>1829</v>
      </c>
      <c r="C8">
        <v>1137</v>
      </c>
      <c r="D8">
        <v>1901</v>
      </c>
      <c r="E8">
        <v>2871</v>
      </c>
      <c r="F8">
        <v>415</v>
      </c>
      <c r="G8">
        <v>341</v>
      </c>
      <c r="H8">
        <v>453</v>
      </c>
      <c r="I8">
        <v>381</v>
      </c>
    </row>
    <row r="9" spans="1:9" x14ac:dyDescent="0.25">
      <c r="A9" s="1" t="s">
        <v>13</v>
      </c>
      <c r="B9">
        <v>1691</v>
      </c>
      <c r="C9">
        <v>1273</v>
      </c>
      <c r="D9">
        <v>2729</v>
      </c>
      <c r="E9">
        <v>2119</v>
      </c>
      <c r="F9">
        <v>404</v>
      </c>
      <c r="G9">
        <v>342</v>
      </c>
      <c r="H9">
        <v>386</v>
      </c>
      <c r="I9">
        <v>398</v>
      </c>
    </row>
    <row r="14" spans="1:9" x14ac:dyDescent="0.25">
      <c r="C14" t="s">
        <v>3</v>
      </c>
      <c r="D14" s="10" t="s">
        <v>28</v>
      </c>
    </row>
    <row r="15" spans="1:9" x14ac:dyDescent="0.25">
      <c r="A15" s="15" t="s">
        <v>20</v>
      </c>
      <c r="B15" s="15"/>
      <c r="C15" s="15"/>
      <c r="D15" s="15"/>
      <c r="E15" s="15"/>
      <c r="F15" s="15"/>
      <c r="G15" s="15"/>
    </row>
    <row r="16" spans="1:9" x14ac:dyDescent="0.25">
      <c r="A16" s="14" t="s">
        <v>4</v>
      </c>
      <c r="B16" s="14"/>
      <c r="C16" s="14"/>
      <c r="D16" s="14"/>
      <c r="E16" s="14"/>
      <c r="F16" s="14"/>
      <c r="G16" s="14"/>
    </row>
    <row r="17" spans="1:9" ht="45" x14ac:dyDescent="0.25">
      <c r="A17" s="5"/>
      <c r="B17" s="1" t="s">
        <v>5</v>
      </c>
      <c r="C17" s="6" t="s">
        <v>6</v>
      </c>
      <c r="D17" s="1" t="s">
        <v>7</v>
      </c>
      <c r="E17" s="6" t="s">
        <v>8</v>
      </c>
      <c r="F17" s="1" t="s">
        <v>1</v>
      </c>
      <c r="G17" s="1" t="s">
        <v>0</v>
      </c>
      <c r="H17" s="2" t="s">
        <v>25</v>
      </c>
      <c r="I17" s="11" t="s">
        <v>34</v>
      </c>
    </row>
    <row r="18" spans="1:9" x14ac:dyDescent="0.25">
      <c r="A18" s="1" t="s">
        <v>9</v>
      </c>
      <c r="B18">
        <v>1348</v>
      </c>
      <c r="C18">
        <v>1827</v>
      </c>
      <c r="D18">
        <v>3545</v>
      </c>
      <c r="E18">
        <v>2878</v>
      </c>
      <c r="F18">
        <v>408</v>
      </c>
      <c r="G18">
        <v>350</v>
      </c>
      <c r="H18">
        <v>381</v>
      </c>
      <c r="I18">
        <v>381</v>
      </c>
    </row>
    <row r="19" spans="1:9" x14ac:dyDescent="0.25">
      <c r="A19" s="1" t="s">
        <v>10</v>
      </c>
      <c r="B19">
        <v>2293</v>
      </c>
      <c r="C19">
        <v>1494</v>
      </c>
      <c r="D19">
        <v>3292</v>
      </c>
      <c r="E19">
        <v>2686</v>
      </c>
      <c r="F19">
        <v>406</v>
      </c>
      <c r="G19">
        <v>341</v>
      </c>
      <c r="H19">
        <v>498</v>
      </c>
      <c r="I19">
        <v>366</v>
      </c>
    </row>
    <row r="20" spans="1:9" x14ac:dyDescent="0.25">
      <c r="A20" s="1" t="s">
        <v>11</v>
      </c>
      <c r="B20">
        <v>2653</v>
      </c>
      <c r="C20">
        <v>1294</v>
      </c>
      <c r="D20">
        <v>3634</v>
      </c>
      <c r="E20">
        <v>2841</v>
      </c>
      <c r="F20">
        <v>405</v>
      </c>
      <c r="G20">
        <v>342</v>
      </c>
      <c r="H20">
        <v>423</v>
      </c>
      <c r="I20">
        <v>435</v>
      </c>
    </row>
    <row r="21" spans="1:9" x14ac:dyDescent="0.25">
      <c r="A21" s="1" t="s">
        <v>12</v>
      </c>
      <c r="B21">
        <v>3705</v>
      </c>
      <c r="C21">
        <v>1206</v>
      </c>
      <c r="D21">
        <v>3747</v>
      </c>
      <c r="E21">
        <v>2716</v>
      </c>
      <c r="F21">
        <v>384</v>
      </c>
      <c r="G21">
        <v>342</v>
      </c>
      <c r="H21">
        <v>495</v>
      </c>
      <c r="I21">
        <v>408</v>
      </c>
    </row>
    <row r="22" spans="1:9" x14ac:dyDescent="0.25">
      <c r="A22" s="1" t="s">
        <v>13</v>
      </c>
      <c r="B22">
        <v>3543</v>
      </c>
      <c r="C22">
        <v>1807</v>
      </c>
      <c r="D22">
        <v>2454</v>
      </c>
      <c r="E22">
        <v>3408</v>
      </c>
      <c r="F22">
        <v>343</v>
      </c>
      <c r="G22">
        <v>341</v>
      </c>
      <c r="H22">
        <v>494</v>
      </c>
      <c r="I22">
        <v>353</v>
      </c>
    </row>
    <row r="27" spans="1:9" x14ac:dyDescent="0.25">
      <c r="C27" t="s">
        <v>3</v>
      </c>
      <c r="D27" s="10" t="s">
        <v>29</v>
      </c>
    </row>
    <row r="28" spans="1:9" x14ac:dyDescent="0.25">
      <c r="A28" s="15" t="s">
        <v>21</v>
      </c>
      <c r="B28" s="15"/>
      <c r="C28" s="15"/>
      <c r="D28" s="15"/>
      <c r="E28" s="15"/>
      <c r="F28" s="15"/>
      <c r="G28" s="15"/>
    </row>
    <row r="29" spans="1:9" x14ac:dyDescent="0.25">
      <c r="A29" s="14" t="s">
        <v>4</v>
      </c>
      <c r="B29" s="14"/>
      <c r="C29" s="14"/>
      <c r="D29" s="14"/>
      <c r="E29" s="14"/>
      <c r="F29" s="14"/>
      <c r="G29" s="14"/>
    </row>
    <row r="30" spans="1:9" ht="45" x14ac:dyDescent="0.25">
      <c r="A30" s="5"/>
      <c r="B30" s="1" t="s">
        <v>5</v>
      </c>
      <c r="C30" s="6" t="s">
        <v>6</v>
      </c>
      <c r="D30" s="1" t="s">
        <v>7</v>
      </c>
      <c r="E30" s="6" t="s">
        <v>8</v>
      </c>
      <c r="F30" s="1" t="s">
        <v>1</v>
      </c>
      <c r="G30" s="1" t="s">
        <v>0</v>
      </c>
      <c r="H30" s="2" t="s">
        <v>25</v>
      </c>
      <c r="I30" s="11" t="s">
        <v>34</v>
      </c>
    </row>
    <row r="31" spans="1:9" x14ac:dyDescent="0.25">
      <c r="A31" s="1" t="s">
        <v>9</v>
      </c>
      <c r="B31">
        <v>933</v>
      </c>
      <c r="C31">
        <v>938</v>
      </c>
      <c r="D31">
        <v>2902</v>
      </c>
      <c r="E31">
        <v>3198</v>
      </c>
      <c r="F31">
        <v>343</v>
      </c>
      <c r="G31">
        <v>341</v>
      </c>
      <c r="H31">
        <v>405</v>
      </c>
      <c r="I31">
        <v>388</v>
      </c>
    </row>
    <row r="32" spans="1:9" x14ac:dyDescent="0.25">
      <c r="A32" s="1" t="s">
        <v>10</v>
      </c>
      <c r="B32">
        <v>1698</v>
      </c>
      <c r="C32">
        <v>1219</v>
      </c>
      <c r="D32">
        <v>3114</v>
      </c>
      <c r="E32">
        <v>2741</v>
      </c>
      <c r="F32">
        <v>375</v>
      </c>
      <c r="G32">
        <v>342</v>
      </c>
      <c r="H32">
        <v>386</v>
      </c>
      <c r="I32">
        <v>371</v>
      </c>
    </row>
    <row r="33" spans="1:9" x14ac:dyDescent="0.25">
      <c r="A33" s="1" t="s">
        <v>11</v>
      </c>
      <c r="B33">
        <v>1165</v>
      </c>
      <c r="C33">
        <v>1439</v>
      </c>
      <c r="D33">
        <v>3057</v>
      </c>
      <c r="E33">
        <v>3268</v>
      </c>
      <c r="F33">
        <v>358</v>
      </c>
      <c r="G33">
        <v>350</v>
      </c>
      <c r="H33">
        <v>527</v>
      </c>
      <c r="I33">
        <v>393</v>
      </c>
    </row>
    <row r="34" spans="1:9" x14ac:dyDescent="0.25">
      <c r="A34" s="1" t="s">
        <v>12</v>
      </c>
      <c r="B34">
        <v>1320</v>
      </c>
      <c r="C34">
        <v>1128</v>
      </c>
      <c r="D34">
        <v>2588</v>
      </c>
      <c r="E34">
        <v>2788</v>
      </c>
      <c r="F34">
        <v>366</v>
      </c>
      <c r="G34">
        <v>342</v>
      </c>
      <c r="H34">
        <v>430</v>
      </c>
      <c r="I34">
        <v>357</v>
      </c>
    </row>
    <row r="35" spans="1:9" x14ac:dyDescent="0.25">
      <c r="A35" s="1" t="s">
        <v>13</v>
      </c>
      <c r="B35">
        <v>1083</v>
      </c>
      <c r="C35">
        <v>1165</v>
      </c>
      <c r="D35">
        <v>3048</v>
      </c>
      <c r="E35">
        <v>3351</v>
      </c>
      <c r="F35">
        <v>378</v>
      </c>
      <c r="G35">
        <v>350</v>
      </c>
      <c r="H35">
        <v>388</v>
      </c>
      <c r="I35">
        <v>344</v>
      </c>
    </row>
    <row r="40" spans="1:9" x14ac:dyDescent="0.25">
      <c r="C40" t="s">
        <v>3</v>
      </c>
      <c r="D40" s="10" t="s">
        <v>30</v>
      </c>
    </row>
    <row r="41" spans="1:9" x14ac:dyDescent="0.25">
      <c r="A41" s="15" t="s">
        <v>22</v>
      </c>
      <c r="B41" s="15"/>
      <c r="C41" s="15"/>
      <c r="D41" s="15"/>
      <c r="E41" s="15"/>
      <c r="F41" s="15"/>
      <c r="G41" s="15"/>
    </row>
    <row r="42" spans="1:9" x14ac:dyDescent="0.25">
      <c r="A42" s="14" t="s">
        <v>4</v>
      </c>
      <c r="B42" s="14"/>
      <c r="C42" s="14"/>
      <c r="D42" s="14"/>
      <c r="E42" s="14"/>
      <c r="F42" s="14"/>
      <c r="G42" s="14"/>
    </row>
    <row r="43" spans="1:9" ht="45" x14ac:dyDescent="0.25">
      <c r="A43" s="5"/>
      <c r="B43" s="1" t="s">
        <v>5</v>
      </c>
      <c r="C43" s="6" t="s">
        <v>6</v>
      </c>
      <c r="D43" s="1" t="s">
        <v>7</v>
      </c>
      <c r="E43" s="6" t="s">
        <v>8</v>
      </c>
      <c r="F43" s="1" t="s">
        <v>1</v>
      </c>
      <c r="G43" s="1" t="s">
        <v>0</v>
      </c>
      <c r="H43" s="2" t="s">
        <v>25</v>
      </c>
      <c r="I43" s="11" t="s">
        <v>34</v>
      </c>
    </row>
    <row r="44" spans="1:9" x14ac:dyDescent="0.25">
      <c r="A44" s="1" t="s">
        <v>9</v>
      </c>
      <c r="B44">
        <v>1530</v>
      </c>
      <c r="C44">
        <v>823</v>
      </c>
      <c r="D44">
        <v>3832</v>
      </c>
      <c r="E44">
        <v>2072</v>
      </c>
      <c r="F44">
        <v>396</v>
      </c>
      <c r="G44">
        <v>341</v>
      </c>
      <c r="H44">
        <v>425</v>
      </c>
      <c r="I44">
        <v>435</v>
      </c>
    </row>
    <row r="45" spans="1:9" x14ac:dyDescent="0.25">
      <c r="A45" s="1" t="s">
        <v>10</v>
      </c>
      <c r="B45">
        <v>1280</v>
      </c>
      <c r="C45">
        <v>1262</v>
      </c>
      <c r="D45">
        <v>5138</v>
      </c>
      <c r="E45">
        <v>3105</v>
      </c>
      <c r="F45">
        <v>396</v>
      </c>
      <c r="G45">
        <v>349</v>
      </c>
      <c r="H45">
        <v>415</v>
      </c>
      <c r="I45">
        <v>332</v>
      </c>
    </row>
    <row r="46" spans="1:9" x14ac:dyDescent="0.25">
      <c r="A46" s="1" t="s">
        <v>11</v>
      </c>
      <c r="B46">
        <v>1325</v>
      </c>
      <c r="C46">
        <v>1287</v>
      </c>
      <c r="D46">
        <v>8045</v>
      </c>
      <c r="E46">
        <v>3269</v>
      </c>
      <c r="F46">
        <v>388</v>
      </c>
      <c r="G46">
        <v>342</v>
      </c>
      <c r="H46">
        <v>393</v>
      </c>
      <c r="I46">
        <v>407</v>
      </c>
    </row>
    <row r="47" spans="1:9" x14ac:dyDescent="0.25">
      <c r="A47" s="1" t="s">
        <v>12</v>
      </c>
      <c r="B47">
        <v>1455</v>
      </c>
      <c r="C47">
        <v>1080</v>
      </c>
      <c r="D47">
        <v>5760</v>
      </c>
      <c r="E47">
        <v>2891</v>
      </c>
      <c r="F47">
        <v>339</v>
      </c>
      <c r="G47">
        <v>341</v>
      </c>
      <c r="H47">
        <v>455</v>
      </c>
      <c r="I47">
        <v>414</v>
      </c>
    </row>
    <row r="48" spans="1:9" x14ac:dyDescent="0.25">
      <c r="A48" s="1" t="s">
        <v>13</v>
      </c>
      <c r="B48">
        <v>1037</v>
      </c>
      <c r="C48">
        <v>1204</v>
      </c>
      <c r="D48">
        <v>7985</v>
      </c>
      <c r="E48">
        <v>2749</v>
      </c>
      <c r="F48">
        <v>367</v>
      </c>
      <c r="G48">
        <v>342</v>
      </c>
      <c r="H48">
        <v>385</v>
      </c>
      <c r="I48">
        <v>362</v>
      </c>
    </row>
    <row r="53" spans="1:9" x14ac:dyDescent="0.25">
      <c r="C53" t="s">
        <v>3</v>
      </c>
      <c r="D53" s="10" t="s">
        <v>24</v>
      </c>
      <c r="E53" s="12" t="s">
        <v>31</v>
      </c>
    </row>
    <row r="54" spans="1:9" x14ac:dyDescent="0.25">
      <c r="A54" s="15" t="s">
        <v>23</v>
      </c>
      <c r="B54" s="15"/>
      <c r="C54" s="15"/>
      <c r="D54" s="15"/>
      <c r="E54" s="15"/>
      <c r="F54" s="15"/>
      <c r="G54" s="15"/>
    </row>
    <row r="55" spans="1:9" x14ac:dyDescent="0.25">
      <c r="A55" s="14" t="s">
        <v>4</v>
      </c>
      <c r="B55" s="14"/>
      <c r="C55" s="14"/>
      <c r="D55" s="14"/>
      <c r="E55" s="14"/>
      <c r="F55" s="14"/>
      <c r="G55" s="14"/>
    </row>
    <row r="56" spans="1:9" ht="45" x14ac:dyDescent="0.25">
      <c r="A56" s="5"/>
      <c r="B56" s="1" t="s">
        <v>5</v>
      </c>
      <c r="C56" s="6" t="s">
        <v>6</v>
      </c>
      <c r="D56" s="1" t="s">
        <v>7</v>
      </c>
      <c r="E56" s="6" t="s">
        <v>8</v>
      </c>
      <c r="F56" s="1" t="s">
        <v>1</v>
      </c>
      <c r="G56" s="1" t="s">
        <v>0</v>
      </c>
      <c r="H56" s="2" t="s">
        <v>25</v>
      </c>
      <c r="I56" s="11" t="s">
        <v>35</v>
      </c>
    </row>
    <row r="57" spans="1:9" x14ac:dyDescent="0.25">
      <c r="A57" s="1" t="s">
        <v>9</v>
      </c>
      <c r="B57">
        <v>806</v>
      </c>
      <c r="C57">
        <v>659</v>
      </c>
      <c r="D57">
        <v>2734</v>
      </c>
      <c r="E57">
        <v>2356</v>
      </c>
      <c r="F57">
        <v>397</v>
      </c>
      <c r="G57">
        <v>353</v>
      </c>
      <c r="H57">
        <v>536</v>
      </c>
      <c r="I57">
        <v>235</v>
      </c>
    </row>
    <row r="58" spans="1:9" x14ac:dyDescent="0.25">
      <c r="A58" s="1" t="s">
        <v>10</v>
      </c>
      <c r="B58">
        <v>809</v>
      </c>
      <c r="C58">
        <v>910</v>
      </c>
      <c r="D58">
        <v>4889</v>
      </c>
      <c r="E58">
        <v>1592</v>
      </c>
      <c r="F58">
        <v>432</v>
      </c>
      <c r="G58">
        <v>341</v>
      </c>
      <c r="H58">
        <v>308</v>
      </c>
      <c r="I58">
        <v>349</v>
      </c>
    </row>
    <row r="59" spans="1:9" x14ac:dyDescent="0.25">
      <c r="A59" s="1" t="s">
        <v>11</v>
      </c>
      <c r="B59">
        <v>777</v>
      </c>
      <c r="C59">
        <v>863</v>
      </c>
      <c r="D59">
        <v>6186</v>
      </c>
      <c r="E59">
        <v>1649</v>
      </c>
      <c r="F59">
        <v>392</v>
      </c>
      <c r="G59">
        <v>341</v>
      </c>
      <c r="H59">
        <v>293</v>
      </c>
      <c r="I59">
        <v>295</v>
      </c>
    </row>
    <row r="60" spans="1:9" x14ac:dyDescent="0.25">
      <c r="A60" s="1" t="s">
        <v>12</v>
      </c>
      <c r="B60">
        <v>953</v>
      </c>
      <c r="C60">
        <v>929</v>
      </c>
      <c r="D60">
        <v>6295</v>
      </c>
      <c r="E60">
        <v>2707</v>
      </c>
      <c r="F60">
        <v>391</v>
      </c>
      <c r="G60">
        <v>342</v>
      </c>
      <c r="H60">
        <v>562</v>
      </c>
      <c r="I60">
        <v>324</v>
      </c>
    </row>
    <row r="61" spans="1:9" x14ac:dyDescent="0.25">
      <c r="A61" s="1" t="s">
        <v>13</v>
      </c>
      <c r="B61">
        <v>840</v>
      </c>
      <c r="C61">
        <v>996</v>
      </c>
      <c r="D61">
        <v>5211</v>
      </c>
      <c r="E61">
        <v>2242</v>
      </c>
      <c r="F61">
        <v>377</v>
      </c>
      <c r="G61">
        <v>341</v>
      </c>
      <c r="H61">
        <v>326</v>
      </c>
      <c r="I61">
        <v>313</v>
      </c>
    </row>
    <row r="65" spans="1:19" x14ac:dyDescent="0.25">
      <c r="A65" s="16" t="s">
        <v>17</v>
      </c>
      <c r="B65" s="16"/>
      <c r="C65" s="16"/>
      <c r="D65" s="16"/>
      <c r="E65" s="16"/>
      <c r="F65" s="16"/>
      <c r="G65" s="16"/>
    </row>
    <row r="66" spans="1:19" x14ac:dyDescent="0.25">
      <c r="A66" s="14" t="s">
        <v>4</v>
      </c>
      <c r="B66" s="14"/>
      <c r="C66" s="14"/>
      <c r="D66" s="14"/>
      <c r="E66" s="14"/>
      <c r="F66" s="14"/>
      <c r="G66" s="14"/>
    </row>
    <row r="67" spans="1:19" ht="45" x14ac:dyDescent="0.25">
      <c r="A67" s="9"/>
      <c r="B67" s="1" t="s">
        <v>5</v>
      </c>
      <c r="C67" s="6" t="s">
        <v>6</v>
      </c>
      <c r="D67" s="1" t="s">
        <v>7</v>
      </c>
      <c r="E67" s="6" t="s">
        <v>8</v>
      </c>
      <c r="F67" s="1" t="s">
        <v>1</v>
      </c>
      <c r="G67" s="1" t="s">
        <v>0</v>
      </c>
      <c r="H67" s="2" t="s">
        <v>33</v>
      </c>
      <c r="I67" s="11" t="s">
        <v>34</v>
      </c>
    </row>
    <row r="68" spans="1:19" x14ac:dyDescent="0.25">
      <c r="A68" s="2">
        <v>0.7</v>
      </c>
      <c r="B68">
        <f t="shared" ref="B68:G68" si="0">AVERAGE(B5:B9)</f>
        <v>1608.8</v>
      </c>
      <c r="C68">
        <f t="shared" si="0"/>
        <v>1296.5999999999999</v>
      </c>
      <c r="D68">
        <f t="shared" si="0"/>
        <v>2671.6</v>
      </c>
      <c r="E68">
        <f t="shared" si="0"/>
        <v>2822.4</v>
      </c>
      <c r="F68">
        <f t="shared" si="0"/>
        <v>386.6</v>
      </c>
      <c r="G68">
        <f t="shared" si="0"/>
        <v>344.4</v>
      </c>
      <c r="H68">
        <f>AVERAGE(H5:H9)</f>
        <v>436.6</v>
      </c>
      <c r="I68">
        <f>AVERAGE(I5:I9)</f>
        <v>375.2</v>
      </c>
    </row>
    <row r="69" spans="1:19" x14ac:dyDescent="0.25">
      <c r="A69" s="3">
        <v>0.3</v>
      </c>
      <c r="B69">
        <f t="shared" ref="B69:G69" si="1">AVERAGE(B18:B22)</f>
        <v>2708.4</v>
      </c>
      <c r="C69">
        <f t="shared" si="1"/>
        <v>1525.6</v>
      </c>
      <c r="D69">
        <f t="shared" si="1"/>
        <v>3334.4</v>
      </c>
      <c r="E69">
        <f t="shared" si="1"/>
        <v>2905.8</v>
      </c>
      <c r="F69">
        <f t="shared" si="1"/>
        <v>389.2</v>
      </c>
      <c r="G69">
        <f t="shared" si="1"/>
        <v>343.2</v>
      </c>
      <c r="H69">
        <f>AVERAGE(H18:H22)</f>
        <v>458.2</v>
      </c>
      <c r="I69">
        <f>AVERAGE(I18:I22)</f>
        <v>388.6</v>
      </c>
      <c r="O69" s="9"/>
      <c r="P69" s="1" t="s">
        <v>1</v>
      </c>
      <c r="Q69" s="1" t="s">
        <v>0</v>
      </c>
      <c r="R69" s="2" t="s">
        <v>36</v>
      </c>
      <c r="S69" s="11" t="s">
        <v>37</v>
      </c>
    </row>
    <row r="70" spans="1:19" x14ac:dyDescent="0.25">
      <c r="A70" s="3">
        <v>0</v>
      </c>
      <c r="B70">
        <f t="shared" ref="B70:G70" si="2">AVERAGE(B31:B35)</f>
        <v>1239.8</v>
      </c>
      <c r="C70">
        <f t="shared" si="2"/>
        <v>1177.8</v>
      </c>
      <c r="D70">
        <f t="shared" si="2"/>
        <v>2941.8</v>
      </c>
      <c r="E70">
        <f t="shared" si="2"/>
        <v>3069.2</v>
      </c>
      <c r="F70">
        <f t="shared" si="2"/>
        <v>364</v>
      </c>
      <c r="G70">
        <f t="shared" si="2"/>
        <v>345</v>
      </c>
      <c r="H70">
        <f>AVERAGE(H31:H35)</f>
        <v>427.2</v>
      </c>
      <c r="I70">
        <f>AVERAGE(I31:I35)</f>
        <v>370.6</v>
      </c>
      <c r="O70" s="2">
        <v>0.7</v>
      </c>
      <c r="P70" s="13">
        <f>(G68 - F68) / G68</f>
        <v>-0.12253193960511048</v>
      </c>
      <c r="Q70" s="13">
        <f>(G68 - G68) / G68</f>
        <v>0</v>
      </c>
      <c r="R70" s="13">
        <f>(G68 - H68) / G68</f>
        <v>-0.26771196283391419</v>
      </c>
      <c r="S70" s="13">
        <f>(G68 - I68) / G68</f>
        <v>-8.9430894308943132E-2</v>
      </c>
    </row>
    <row r="71" spans="1:19" x14ac:dyDescent="0.25">
      <c r="A71" s="3">
        <v>-0.3</v>
      </c>
      <c r="B71">
        <f t="shared" ref="B71:G71" si="3">AVERAGE(B44:B48)</f>
        <v>1325.4</v>
      </c>
      <c r="C71">
        <f t="shared" si="3"/>
        <v>1131.2</v>
      </c>
      <c r="D71">
        <f t="shared" si="3"/>
        <v>6152</v>
      </c>
      <c r="E71">
        <f t="shared" si="3"/>
        <v>2817.2</v>
      </c>
      <c r="F71">
        <f t="shared" si="3"/>
        <v>377.2</v>
      </c>
      <c r="G71">
        <f t="shared" si="3"/>
        <v>343</v>
      </c>
      <c r="H71">
        <f>AVERAGE(H44:H48)</f>
        <v>414.6</v>
      </c>
      <c r="I71">
        <f>AVERAGE(I44:I48)</f>
        <v>390</v>
      </c>
      <c r="O71" s="3">
        <v>0.3</v>
      </c>
      <c r="P71" s="13">
        <f t="shared" ref="P71:P74" si="4">(G69 - F69) / G69</f>
        <v>-0.13403263403263405</v>
      </c>
      <c r="Q71" s="13">
        <f t="shared" ref="Q71:Q74" si="5">(G69 - G69) / G69</f>
        <v>0</v>
      </c>
      <c r="R71" s="13">
        <f t="shared" ref="R71:R74" si="6">(G69 - H69) / G69</f>
        <v>-0.33508158508158509</v>
      </c>
      <c r="S71" s="13">
        <f t="shared" ref="S71:S73" si="7">(G69 - I69) / G69</f>
        <v>-0.13228438228438238</v>
      </c>
    </row>
    <row r="72" spans="1:19" x14ac:dyDescent="0.25">
      <c r="A72" s="3">
        <v>-0.7</v>
      </c>
      <c r="B72">
        <f t="shared" ref="B72:G72" si="8">AVERAGE(B57:B61)</f>
        <v>837</v>
      </c>
      <c r="C72">
        <f t="shared" si="8"/>
        <v>871.4</v>
      </c>
      <c r="D72">
        <f t="shared" si="8"/>
        <v>5063</v>
      </c>
      <c r="E72">
        <f t="shared" si="8"/>
        <v>2109.1999999999998</v>
      </c>
      <c r="F72">
        <f t="shared" si="8"/>
        <v>397.8</v>
      </c>
      <c r="G72">
        <f t="shared" si="8"/>
        <v>343.6</v>
      </c>
      <c r="H72">
        <f>AVERAGE(H57:H61)</f>
        <v>405</v>
      </c>
      <c r="I72">
        <f>AVERAGE(I57:I61)</f>
        <v>303.2</v>
      </c>
      <c r="O72" s="3">
        <v>0</v>
      </c>
      <c r="P72" s="13">
        <f t="shared" si="4"/>
        <v>-5.5072463768115941E-2</v>
      </c>
      <c r="Q72" s="13">
        <f t="shared" si="5"/>
        <v>0</v>
      </c>
      <c r="R72" s="13">
        <f t="shared" si="6"/>
        <v>-0.23826086956521736</v>
      </c>
      <c r="S72" s="13">
        <f t="shared" si="7"/>
        <v>-7.4202898550724705E-2</v>
      </c>
    </row>
    <row r="73" spans="1:19" x14ac:dyDescent="0.25">
      <c r="O73" s="3">
        <v>-0.3</v>
      </c>
      <c r="P73" s="13">
        <f t="shared" si="4"/>
        <v>-9.9708454810495589E-2</v>
      </c>
      <c r="Q73" s="13">
        <f t="shared" si="5"/>
        <v>0</v>
      </c>
      <c r="R73" s="13">
        <f t="shared" si="6"/>
        <v>-0.20874635568513125</v>
      </c>
      <c r="S73" s="13">
        <f t="shared" si="7"/>
        <v>-0.13702623906705538</v>
      </c>
    </row>
    <row r="74" spans="1:19" x14ac:dyDescent="0.25">
      <c r="O74" s="3">
        <v>-0.7</v>
      </c>
      <c r="P74" s="13">
        <f t="shared" si="4"/>
        <v>-0.1577415599534342</v>
      </c>
      <c r="Q74" s="13">
        <f t="shared" si="5"/>
        <v>0</v>
      </c>
      <c r="R74" s="13">
        <f t="shared" si="6"/>
        <v>-0.17869615832363206</v>
      </c>
      <c r="S74" s="13">
        <f>(G72 - I72) / G72</f>
        <v>0.11757857974388833</v>
      </c>
    </row>
  </sheetData>
  <mergeCells count="12">
    <mergeCell ref="A66:G66"/>
    <mergeCell ref="A2:G2"/>
    <mergeCell ref="A3:G3"/>
    <mergeCell ref="A15:G15"/>
    <mergeCell ref="A16:G16"/>
    <mergeCell ref="A28:G28"/>
    <mergeCell ref="A29:G29"/>
    <mergeCell ref="A41:G41"/>
    <mergeCell ref="A42:G42"/>
    <mergeCell ref="A54:G54"/>
    <mergeCell ref="A55:G55"/>
    <mergeCell ref="A65:G6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tabSelected="1" topLeftCell="A56" zoomScale="70" zoomScaleNormal="70" workbookViewId="0">
      <selection activeCell="I72" sqref="I72"/>
    </sheetView>
  </sheetViews>
  <sheetFormatPr defaultRowHeight="15" x14ac:dyDescent="0.25"/>
  <cols>
    <col min="2" max="2" width="15.85546875" bestFit="1" customWidth="1"/>
    <col min="3" max="3" width="24" bestFit="1" customWidth="1"/>
    <col min="4" max="4" width="38.28515625" bestFit="1" customWidth="1"/>
    <col min="5" max="5" width="23.570312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5" t="s">
        <v>18</v>
      </c>
      <c r="B1" s="15"/>
      <c r="C1" s="15"/>
      <c r="D1" s="15"/>
      <c r="E1" s="15"/>
      <c r="F1" s="15"/>
      <c r="G1" s="15"/>
    </row>
    <row r="2" spans="1:9" x14ac:dyDescent="0.25">
      <c r="A2" s="17" t="s">
        <v>14</v>
      </c>
      <c r="B2" s="18"/>
      <c r="C2" s="18"/>
      <c r="D2" s="18"/>
      <c r="E2" s="18"/>
      <c r="F2" s="18"/>
      <c r="G2" s="19"/>
    </row>
    <row r="3" spans="1:9" ht="45" x14ac:dyDescent="0.25">
      <c r="A3" s="7"/>
      <c r="B3" s="1" t="s">
        <v>5</v>
      </c>
      <c r="C3" s="6" t="s">
        <v>6</v>
      </c>
      <c r="D3" s="1" t="s">
        <v>7</v>
      </c>
      <c r="E3" s="6" t="s">
        <v>8</v>
      </c>
      <c r="F3" s="1" t="s">
        <v>1</v>
      </c>
      <c r="G3" s="1" t="s">
        <v>0</v>
      </c>
      <c r="H3" s="2" t="s">
        <v>25</v>
      </c>
      <c r="I3" s="11" t="s">
        <v>34</v>
      </c>
    </row>
    <row r="4" spans="1:9" x14ac:dyDescent="0.25">
      <c r="A4" s="1" t="s">
        <v>9</v>
      </c>
      <c r="B4">
        <v>38.347999999999999</v>
      </c>
      <c r="C4">
        <v>54.277999999999999</v>
      </c>
      <c r="D4">
        <v>2.0609999999999999</v>
      </c>
      <c r="E4">
        <v>1.0760000000000001</v>
      </c>
      <c r="F4">
        <v>2.2050000000000001</v>
      </c>
      <c r="G4">
        <v>1.46</v>
      </c>
      <c r="H4">
        <v>3.2719999999999998</v>
      </c>
      <c r="I4">
        <v>2.89</v>
      </c>
    </row>
    <row r="5" spans="1:9" x14ac:dyDescent="0.25">
      <c r="A5" s="1" t="s">
        <v>10</v>
      </c>
      <c r="B5">
        <v>37.290999999999997</v>
      </c>
      <c r="C5">
        <v>46.122</v>
      </c>
      <c r="D5">
        <v>4.609</v>
      </c>
      <c r="E5">
        <v>1.5669999999999999</v>
      </c>
      <c r="F5">
        <v>1.8879999999999999</v>
      </c>
      <c r="G5">
        <v>1.181</v>
      </c>
      <c r="H5">
        <v>3.1440000000000001</v>
      </c>
      <c r="I5">
        <v>3.44</v>
      </c>
    </row>
    <row r="6" spans="1:9" x14ac:dyDescent="0.25">
      <c r="A6" s="1" t="s">
        <v>11</v>
      </c>
      <c r="B6">
        <v>35.220999999999997</v>
      </c>
      <c r="C6">
        <v>42.564</v>
      </c>
      <c r="D6">
        <v>4.9340000000000002</v>
      </c>
      <c r="E6">
        <v>1.2949999999999999</v>
      </c>
      <c r="F6">
        <v>2.105</v>
      </c>
      <c r="G6">
        <v>1.8640000000000001</v>
      </c>
      <c r="H6">
        <v>3.0350000000000001</v>
      </c>
      <c r="I6">
        <v>3.22</v>
      </c>
    </row>
    <row r="7" spans="1:9" x14ac:dyDescent="0.25">
      <c r="A7" s="1" t="s">
        <v>12</v>
      </c>
      <c r="B7">
        <v>37.229999999999997</v>
      </c>
      <c r="C7">
        <v>41.241999999999997</v>
      </c>
      <c r="D7">
        <v>2.8839999999999999</v>
      </c>
      <c r="E7">
        <v>1.234</v>
      </c>
      <c r="F7">
        <v>2.19</v>
      </c>
      <c r="G7">
        <v>1.099</v>
      </c>
      <c r="H7">
        <v>3.351</v>
      </c>
      <c r="I7">
        <v>3.1320000000000001</v>
      </c>
    </row>
    <row r="8" spans="1:9" x14ac:dyDescent="0.25">
      <c r="A8" s="1" t="s">
        <v>13</v>
      </c>
      <c r="B8">
        <v>39.656999999999996</v>
      </c>
      <c r="C8">
        <v>45.127000000000002</v>
      </c>
      <c r="D8">
        <v>2.2450000000000001</v>
      </c>
      <c r="E8">
        <v>1.31</v>
      </c>
      <c r="F8">
        <v>1.9630000000000001</v>
      </c>
      <c r="G8">
        <v>1.032</v>
      </c>
      <c r="H8">
        <v>3.1560000000000001</v>
      </c>
      <c r="I8">
        <v>3.0150000000000001</v>
      </c>
    </row>
    <row r="13" spans="1:9" x14ac:dyDescent="0.25">
      <c r="A13" s="15" t="s">
        <v>20</v>
      </c>
      <c r="B13" s="15"/>
      <c r="C13" s="15"/>
      <c r="D13" s="15"/>
      <c r="E13" s="15"/>
      <c r="F13" s="15"/>
      <c r="G13" s="15"/>
    </row>
    <row r="14" spans="1:9" x14ac:dyDescent="0.25">
      <c r="A14" s="17" t="s">
        <v>14</v>
      </c>
      <c r="B14" s="18"/>
      <c r="C14" s="18"/>
      <c r="D14" s="18"/>
      <c r="E14" s="18"/>
      <c r="F14" s="18"/>
      <c r="G14" s="19"/>
    </row>
    <row r="15" spans="1:9" ht="45" x14ac:dyDescent="0.25">
      <c r="A15" s="7"/>
      <c r="B15" s="1" t="s">
        <v>5</v>
      </c>
      <c r="C15" s="6" t="s">
        <v>6</v>
      </c>
      <c r="D15" s="1" t="s">
        <v>7</v>
      </c>
      <c r="E15" s="6" t="s">
        <v>8</v>
      </c>
      <c r="F15" s="1" t="s">
        <v>1</v>
      </c>
      <c r="G15" s="1" t="s">
        <v>0</v>
      </c>
      <c r="H15" s="2" t="s">
        <v>25</v>
      </c>
      <c r="I15" s="11" t="s">
        <v>34</v>
      </c>
    </row>
    <row r="16" spans="1:9" x14ac:dyDescent="0.25">
      <c r="A16" s="1" t="s">
        <v>9</v>
      </c>
      <c r="B16">
        <v>33.372</v>
      </c>
      <c r="C16">
        <v>28.873000000000001</v>
      </c>
      <c r="D16">
        <v>4.2450000000000001</v>
      </c>
      <c r="E16">
        <v>1.0960000000000001</v>
      </c>
      <c r="F16">
        <v>1.27</v>
      </c>
      <c r="G16">
        <v>1.2050000000000001</v>
      </c>
      <c r="H16">
        <v>2.8679999999999999</v>
      </c>
      <c r="I16">
        <v>2.9380000000000002</v>
      </c>
    </row>
    <row r="17" spans="1:9" x14ac:dyDescent="0.25">
      <c r="A17" s="1" t="s">
        <v>10</v>
      </c>
      <c r="B17">
        <v>27.506</v>
      </c>
      <c r="C17">
        <v>29.402000000000001</v>
      </c>
      <c r="D17">
        <v>2.7469999999999999</v>
      </c>
      <c r="E17">
        <v>1.413</v>
      </c>
      <c r="F17">
        <v>1.5980000000000001</v>
      </c>
      <c r="G17">
        <v>1.419</v>
      </c>
      <c r="H17">
        <v>2.9630000000000001</v>
      </c>
      <c r="I17">
        <v>3.89</v>
      </c>
    </row>
    <row r="18" spans="1:9" x14ac:dyDescent="0.25">
      <c r="A18" s="1" t="s">
        <v>11</v>
      </c>
      <c r="B18">
        <v>25.67</v>
      </c>
      <c r="C18">
        <v>26.16</v>
      </c>
      <c r="D18">
        <v>4.9569999999999999</v>
      </c>
      <c r="E18">
        <v>1.1080000000000001</v>
      </c>
      <c r="F18">
        <v>1.6859999999999999</v>
      </c>
      <c r="G18">
        <v>1.4910000000000001</v>
      </c>
      <c r="H18">
        <v>2.9830000000000001</v>
      </c>
      <c r="I18">
        <v>3.1549999999999998</v>
      </c>
    </row>
    <row r="19" spans="1:9" x14ac:dyDescent="0.25">
      <c r="A19" s="1" t="s">
        <v>12</v>
      </c>
      <c r="B19">
        <v>32.276000000000003</v>
      </c>
      <c r="C19">
        <v>31.315000000000001</v>
      </c>
      <c r="D19">
        <v>3.9039999999999999</v>
      </c>
      <c r="E19">
        <v>1.3939999999999999</v>
      </c>
      <c r="F19">
        <v>1.71</v>
      </c>
      <c r="G19">
        <v>1.5129999999999999</v>
      </c>
      <c r="H19">
        <v>2.992</v>
      </c>
      <c r="I19">
        <v>3</v>
      </c>
    </row>
    <row r="20" spans="1:9" x14ac:dyDescent="0.25">
      <c r="A20" s="1" t="s">
        <v>13</v>
      </c>
      <c r="B20">
        <v>25.640999999999998</v>
      </c>
      <c r="C20">
        <v>28.637</v>
      </c>
      <c r="D20">
        <v>4.2309999999999999</v>
      </c>
      <c r="E20">
        <v>1.173</v>
      </c>
      <c r="F20">
        <v>1.8109999999999999</v>
      </c>
      <c r="G20">
        <v>1.4950000000000001</v>
      </c>
      <c r="H20">
        <v>3.226</v>
      </c>
      <c r="I20">
        <v>3.133</v>
      </c>
    </row>
    <row r="24" spans="1:9" x14ac:dyDescent="0.25">
      <c r="A24" s="15" t="s">
        <v>21</v>
      </c>
      <c r="B24" s="15"/>
      <c r="C24" s="15"/>
      <c r="D24" s="15"/>
      <c r="E24" s="15"/>
      <c r="F24" s="15"/>
      <c r="G24" s="15"/>
    </row>
    <row r="25" spans="1:9" x14ac:dyDescent="0.25">
      <c r="A25" s="17" t="s">
        <v>14</v>
      </c>
      <c r="B25" s="18"/>
      <c r="C25" s="18"/>
      <c r="D25" s="18"/>
      <c r="E25" s="18"/>
      <c r="F25" s="18"/>
      <c r="G25" s="19"/>
    </row>
    <row r="26" spans="1:9" ht="45" x14ac:dyDescent="0.25">
      <c r="A26" s="7"/>
      <c r="B26" s="1" t="s">
        <v>5</v>
      </c>
      <c r="C26" s="6" t="s">
        <v>6</v>
      </c>
      <c r="D26" s="1" t="s">
        <v>7</v>
      </c>
      <c r="E26" s="6" t="s">
        <v>8</v>
      </c>
      <c r="F26" s="1" t="s">
        <v>1</v>
      </c>
      <c r="G26" s="1" t="s">
        <v>0</v>
      </c>
      <c r="H26" s="2" t="s">
        <v>25</v>
      </c>
      <c r="I26" s="11" t="s">
        <v>34</v>
      </c>
    </row>
    <row r="27" spans="1:9" x14ac:dyDescent="0.25">
      <c r="A27" s="1" t="s">
        <v>9</v>
      </c>
      <c r="B27">
        <v>43.728999999999999</v>
      </c>
      <c r="C27">
        <v>42.914000000000001</v>
      </c>
      <c r="D27">
        <v>3.0150000000000001</v>
      </c>
      <c r="E27">
        <v>1.1659999999999999</v>
      </c>
      <c r="F27">
        <v>2.3959999999999999</v>
      </c>
      <c r="G27">
        <v>0.93100000000000005</v>
      </c>
      <c r="H27">
        <v>2.8079999999999998</v>
      </c>
      <c r="I27">
        <v>2.8079999999999998</v>
      </c>
    </row>
    <row r="28" spans="1:9" x14ac:dyDescent="0.25">
      <c r="A28" s="1" t="s">
        <v>10</v>
      </c>
      <c r="B28">
        <v>45.392000000000003</v>
      </c>
      <c r="C28">
        <v>38.787999999999997</v>
      </c>
      <c r="D28">
        <v>3.5939999999999999</v>
      </c>
      <c r="E28">
        <v>1.3420000000000001</v>
      </c>
      <c r="F28">
        <v>1.865</v>
      </c>
      <c r="G28">
        <v>0.80700000000000005</v>
      </c>
      <c r="H28">
        <v>3.0259999999999998</v>
      </c>
      <c r="I28">
        <v>3.0259999999999998</v>
      </c>
    </row>
    <row r="29" spans="1:9" x14ac:dyDescent="0.25">
      <c r="A29" s="1" t="s">
        <v>11</v>
      </c>
      <c r="B29">
        <v>43.896000000000001</v>
      </c>
      <c r="C29">
        <v>42.628999999999998</v>
      </c>
      <c r="D29">
        <v>2.5489999999999999</v>
      </c>
      <c r="E29">
        <v>1.3320000000000001</v>
      </c>
      <c r="F29">
        <v>1.901</v>
      </c>
      <c r="G29">
        <v>1.004</v>
      </c>
      <c r="H29">
        <v>3.0830000000000002</v>
      </c>
      <c r="I29">
        <v>3.0830000000000002</v>
      </c>
    </row>
    <row r="30" spans="1:9" x14ac:dyDescent="0.25">
      <c r="A30" s="1" t="s">
        <v>12</v>
      </c>
      <c r="B30">
        <v>44.375</v>
      </c>
      <c r="C30">
        <v>40.781999999999996</v>
      </c>
      <c r="D30">
        <v>3.2029999999999998</v>
      </c>
      <c r="E30">
        <v>1.3640000000000001</v>
      </c>
      <c r="F30">
        <v>1.899</v>
      </c>
      <c r="G30">
        <v>1.1830000000000001</v>
      </c>
      <c r="H30">
        <v>3.2330000000000001</v>
      </c>
      <c r="I30">
        <v>3.0329999999999999</v>
      </c>
    </row>
    <row r="31" spans="1:9" x14ac:dyDescent="0.25">
      <c r="A31" s="1" t="s">
        <v>13</v>
      </c>
      <c r="B31">
        <v>39.533000000000001</v>
      </c>
      <c r="C31">
        <v>44.116999999999997</v>
      </c>
      <c r="D31">
        <v>2.9860000000000002</v>
      </c>
      <c r="E31">
        <v>1.4650000000000001</v>
      </c>
      <c r="F31">
        <v>2.0470000000000002</v>
      </c>
      <c r="G31">
        <v>1.2</v>
      </c>
      <c r="H31">
        <v>3.0590000000000002</v>
      </c>
      <c r="I31">
        <v>2.9590000000000001</v>
      </c>
    </row>
    <row r="35" spans="1:9" x14ac:dyDescent="0.25">
      <c r="A35" s="15" t="s">
        <v>22</v>
      </c>
      <c r="B35" s="15"/>
      <c r="C35" s="15"/>
      <c r="D35" s="15"/>
      <c r="E35" s="15"/>
      <c r="F35" s="15"/>
      <c r="G35" s="15"/>
    </row>
    <row r="36" spans="1:9" x14ac:dyDescent="0.25">
      <c r="A36" s="17" t="s">
        <v>14</v>
      </c>
      <c r="B36" s="18"/>
      <c r="C36" s="18"/>
      <c r="D36" s="18"/>
      <c r="E36" s="18"/>
      <c r="F36" s="18"/>
      <c r="G36" s="19"/>
    </row>
    <row r="37" spans="1:9" ht="45" x14ac:dyDescent="0.25">
      <c r="A37" s="7"/>
      <c r="B37" s="1" t="s">
        <v>5</v>
      </c>
      <c r="C37" s="6" t="s">
        <v>6</v>
      </c>
      <c r="D37" s="1" t="s">
        <v>7</v>
      </c>
      <c r="E37" s="6" t="s">
        <v>8</v>
      </c>
      <c r="F37" s="1" t="s">
        <v>1</v>
      </c>
      <c r="G37" s="1" t="s">
        <v>0</v>
      </c>
      <c r="H37" s="2" t="s">
        <v>25</v>
      </c>
      <c r="I37" s="11" t="s">
        <v>34</v>
      </c>
    </row>
    <row r="38" spans="1:9" x14ac:dyDescent="0.25">
      <c r="A38" s="1" t="s">
        <v>9</v>
      </c>
      <c r="B38">
        <v>41.951999999999998</v>
      </c>
      <c r="C38">
        <v>39.173000000000002</v>
      </c>
      <c r="D38">
        <v>25.652999999999999</v>
      </c>
      <c r="E38">
        <v>20.594999999999999</v>
      </c>
      <c r="F38">
        <v>1.69</v>
      </c>
      <c r="G38">
        <v>0.79100000000000004</v>
      </c>
      <c r="H38">
        <v>3.2069999999999999</v>
      </c>
      <c r="I38">
        <v>3.0070000000000001</v>
      </c>
    </row>
    <row r="39" spans="1:9" x14ac:dyDescent="0.25">
      <c r="A39" s="1" t="s">
        <v>10</v>
      </c>
      <c r="B39">
        <v>41.631999999999998</v>
      </c>
      <c r="C39">
        <v>43.381</v>
      </c>
      <c r="D39">
        <v>25.54</v>
      </c>
      <c r="E39">
        <v>20.923999999999999</v>
      </c>
      <c r="F39">
        <v>2.1680000000000001</v>
      </c>
      <c r="G39">
        <v>1.19</v>
      </c>
      <c r="H39">
        <v>3.0590000000000002</v>
      </c>
      <c r="I39">
        <v>3.0089999999999999</v>
      </c>
    </row>
    <row r="40" spans="1:9" x14ac:dyDescent="0.25">
      <c r="A40" s="1" t="s">
        <v>11</v>
      </c>
      <c r="B40">
        <v>44.345999999999997</v>
      </c>
      <c r="C40">
        <v>41.668999999999997</v>
      </c>
      <c r="D40">
        <v>44.002000000000002</v>
      </c>
      <c r="E40">
        <v>21.108000000000001</v>
      </c>
      <c r="F40">
        <v>2.4220000000000002</v>
      </c>
      <c r="G40">
        <v>1.0509999999999999</v>
      </c>
      <c r="H40">
        <v>3.0590000000000002</v>
      </c>
      <c r="I40">
        <v>3.0089999999999999</v>
      </c>
    </row>
    <row r="41" spans="1:9" x14ac:dyDescent="0.25">
      <c r="A41" s="1" t="s">
        <v>12</v>
      </c>
      <c r="B41">
        <v>39.677</v>
      </c>
      <c r="C41">
        <v>36.965000000000003</v>
      </c>
      <c r="D41">
        <v>29.314</v>
      </c>
      <c r="E41">
        <v>23.15</v>
      </c>
      <c r="F41">
        <v>2.0840000000000001</v>
      </c>
      <c r="G41">
        <v>1.01</v>
      </c>
      <c r="H41">
        <v>2.9980000000000002</v>
      </c>
      <c r="I41">
        <v>2.8980000000000001</v>
      </c>
    </row>
    <row r="42" spans="1:9" x14ac:dyDescent="0.25">
      <c r="A42" s="1" t="s">
        <v>13</v>
      </c>
      <c r="B42">
        <v>41.779000000000003</v>
      </c>
      <c r="C42">
        <v>38.511000000000003</v>
      </c>
      <c r="D42">
        <v>34.465000000000003</v>
      </c>
      <c r="E42">
        <v>19.905999999999999</v>
      </c>
      <c r="F42">
        <v>2.2050000000000001</v>
      </c>
      <c r="G42">
        <v>1.113</v>
      </c>
      <c r="H42">
        <v>3.1890000000000001</v>
      </c>
      <c r="I42">
        <v>3.089</v>
      </c>
    </row>
    <row r="47" spans="1:9" x14ac:dyDescent="0.25">
      <c r="A47" s="15" t="s">
        <v>23</v>
      </c>
      <c r="B47" s="15"/>
      <c r="C47" s="15"/>
      <c r="D47" s="15"/>
      <c r="E47" s="15"/>
      <c r="F47" s="15"/>
      <c r="G47" s="15"/>
    </row>
    <row r="48" spans="1:9" x14ac:dyDescent="0.25">
      <c r="A48" s="17" t="s">
        <v>14</v>
      </c>
      <c r="B48" s="18"/>
      <c r="C48" s="18"/>
      <c r="D48" s="18"/>
      <c r="E48" s="18"/>
      <c r="F48" s="18"/>
      <c r="G48" s="19"/>
    </row>
    <row r="49" spans="1:9" ht="45" x14ac:dyDescent="0.25">
      <c r="A49" s="7"/>
      <c r="B49" s="1" t="s">
        <v>5</v>
      </c>
      <c r="C49" s="6" t="s">
        <v>6</v>
      </c>
      <c r="D49" s="1" t="s">
        <v>7</v>
      </c>
      <c r="E49" s="6" t="s">
        <v>8</v>
      </c>
      <c r="F49" s="1" t="s">
        <v>1</v>
      </c>
      <c r="G49" s="1" t="s">
        <v>0</v>
      </c>
      <c r="H49" s="2" t="s">
        <v>25</v>
      </c>
      <c r="I49" s="11" t="s">
        <v>34</v>
      </c>
    </row>
    <row r="50" spans="1:9" x14ac:dyDescent="0.25">
      <c r="A50" s="1" t="s">
        <v>9</v>
      </c>
      <c r="B50">
        <v>16.765999999999998</v>
      </c>
      <c r="C50">
        <v>15.045999999999999</v>
      </c>
      <c r="D50">
        <v>18.027999999999999</v>
      </c>
      <c r="E50">
        <v>10.189</v>
      </c>
      <c r="F50">
        <v>1.68</v>
      </c>
      <c r="G50">
        <v>0.72599999999999998</v>
      </c>
      <c r="H50">
        <v>3.2989999999999999</v>
      </c>
      <c r="I50">
        <v>2.992</v>
      </c>
    </row>
    <row r="51" spans="1:9" x14ac:dyDescent="0.25">
      <c r="A51" s="1" t="s">
        <v>10</v>
      </c>
      <c r="B51">
        <v>13.51</v>
      </c>
      <c r="C51">
        <v>16.561</v>
      </c>
      <c r="D51">
        <v>20.041</v>
      </c>
      <c r="E51">
        <v>10.41</v>
      </c>
      <c r="F51">
        <v>1.879</v>
      </c>
      <c r="G51">
        <v>0.94799999999999995</v>
      </c>
      <c r="H51">
        <v>4.0490000000000004</v>
      </c>
      <c r="I51">
        <v>3.0870000000000002</v>
      </c>
    </row>
    <row r="52" spans="1:9" x14ac:dyDescent="0.25">
      <c r="A52" s="1" t="s">
        <v>11</v>
      </c>
      <c r="B52">
        <v>19.542999999999999</v>
      </c>
      <c r="C52">
        <v>15.465</v>
      </c>
      <c r="D52">
        <v>19.827999999999999</v>
      </c>
      <c r="E52">
        <v>9.9420000000000002</v>
      </c>
      <c r="F52">
        <v>1.8660000000000001</v>
      </c>
      <c r="G52">
        <v>1.1919999999999999</v>
      </c>
      <c r="H52">
        <v>3.8740000000000001</v>
      </c>
      <c r="I52">
        <v>3.363</v>
      </c>
    </row>
    <row r="53" spans="1:9" x14ac:dyDescent="0.25">
      <c r="A53" s="1" t="s">
        <v>12</v>
      </c>
      <c r="B53">
        <v>17.795000000000002</v>
      </c>
      <c r="C53">
        <v>17.88</v>
      </c>
      <c r="D53">
        <v>22.196000000000002</v>
      </c>
      <c r="E53">
        <v>10.56</v>
      </c>
      <c r="F53">
        <v>2.11</v>
      </c>
      <c r="G53">
        <v>0.96599999999999997</v>
      </c>
      <c r="H53">
        <v>4.8460000000000001</v>
      </c>
      <c r="I53">
        <v>3.0230000000000001</v>
      </c>
    </row>
    <row r="54" spans="1:9" x14ac:dyDescent="0.25">
      <c r="A54" s="1" t="s">
        <v>13</v>
      </c>
      <c r="B54">
        <v>15.316000000000001</v>
      </c>
      <c r="C54">
        <v>15.913</v>
      </c>
      <c r="D54">
        <v>18.975000000000001</v>
      </c>
      <c r="E54">
        <v>9.2929999999999993</v>
      </c>
      <c r="F54">
        <v>1.968</v>
      </c>
      <c r="G54">
        <v>0.91400000000000003</v>
      </c>
      <c r="H54">
        <v>3.758</v>
      </c>
      <c r="I54">
        <v>3.2570000000000001</v>
      </c>
    </row>
    <row r="59" spans="1:9" x14ac:dyDescent="0.25">
      <c r="A59" s="16" t="s">
        <v>17</v>
      </c>
      <c r="B59" s="16"/>
      <c r="C59" s="16"/>
      <c r="D59" s="16"/>
      <c r="E59" s="16"/>
      <c r="F59" s="16"/>
      <c r="G59" s="16"/>
    </row>
    <row r="60" spans="1:9" x14ac:dyDescent="0.25">
      <c r="A60" s="14" t="s">
        <v>4</v>
      </c>
      <c r="B60" s="14"/>
      <c r="C60" s="14"/>
      <c r="D60" s="14"/>
      <c r="E60" s="14"/>
      <c r="F60" s="14"/>
      <c r="G60" s="14"/>
    </row>
    <row r="61" spans="1:9" ht="45" x14ac:dyDescent="0.25">
      <c r="A61" s="9"/>
      <c r="B61" s="1" t="s">
        <v>5</v>
      </c>
      <c r="C61" s="6" t="s">
        <v>6</v>
      </c>
      <c r="D61" s="1" t="s">
        <v>7</v>
      </c>
      <c r="E61" s="6" t="s">
        <v>8</v>
      </c>
      <c r="F61" s="1" t="s">
        <v>1</v>
      </c>
      <c r="G61" s="1" t="s">
        <v>0</v>
      </c>
      <c r="H61" s="2" t="s">
        <v>36</v>
      </c>
      <c r="I61" s="11" t="s">
        <v>37</v>
      </c>
    </row>
    <row r="62" spans="1:9" x14ac:dyDescent="0.25">
      <c r="A62" s="1">
        <v>0.7</v>
      </c>
      <c r="B62">
        <f t="shared" ref="B62:G62" si="0">AVERAGE(B4:B8)</f>
        <v>37.549399999999991</v>
      </c>
      <c r="C62">
        <f t="shared" si="0"/>
        <v>45.866599999999998</v>
      </c>
      <c r="D62">
        <f t="shared" si="0"/>
        <v>3.3466</v>
      </c>
      <c r="E62">
        <f t="shared" si="0"/>
        <v>1.2963999999999998</v>
      </c>
      <c r="F62">
        <f t="shared" si="0"/>
        <v>2.0701999999999998</v>
      </c>
      <c r="G62">
        <f t="shared" si="0"/>
        <v>1.3271999999999999</v>
      </c>
      <c r="H62">
        <f>AVERAGE(H4:H8)</f>
        <v>3.1916000000000002</v>
      </c>
      <c r="I62">
        <f>AVERAGE(I4:I8)</f>
        <v>3.1394000000000002</v>
      </c>
    </row>
    <row r="63" spans="1:9" x14ac:dyDescent="0.25">
      <c r="A63" s="1">
        <v>0.3</v>
      </c>
      <c r="B63">
        <f t="shared" ref="B63:G63" si="1">AVERAGE(B16:B20)</f>
        <v>28.893000000000001</v>
      </c>
      <c r="C63">
        <f t="shared" si="1"/>
        <v>28.877400000000002</v>
      </c>
      <c r="D63">
        <f t="shared" si="1"/>
        <v>4.0167999999999999</v>
      </c>
      <c r="E63">
        <f t="shared" si="1"/>
        <v>1.2368000000000001</v>
      </c>
      <c r="F63">
        <f t="shared" si="1"/>
        <v>1.6149999999999998</v>
      </c>
      <c r="G63">
        <f t="shared" si="1"/>
        <v>1.4246000000000001</v>
      </c>
      <c r="H63">
        <f>AVERAGE(H16:H20)</f>
        <v>3.0064000000000002</v>
      </c>
      <c r="I63">
        <f>AVERAGE(I16:I20)</f>
        <v>3.2231999999999998</v>
      </c>
    </row>
    <row r="64" spans="1:9" x14ac:dyDescent="0.25">
      <c r="A64" s="1">
        <v>0</v>
      </c>
      <c r="B64">
        <f t="shared" ref="B64:G64" si="2">AVERAGE(B25:B29)</f>
        <v>44.338999999999999</v>
      </c>
      <c r="C64">
        <f t="shared" si="2"/>
        <v>41.443666666666665</v>
      </c>
      <c r="D64">
        <f t="shared" si="2"/>
        <v>3.0526666666666666</v>
      </c>
      <c r="E64">
        <f t="shared" si="2"/>
        <v>1.28</v>
      </c>
      <c r="F64">
        <f t="shared" si="2"/>
        <v>2.0539999999999998</v>
      </c>
      <c r="G64">
        <f t="shared" si="2"/>
        <v>0.91400000000000003</v>
      </c>
      <c r="H64">
        <f>AVERAGE(H27:H31)</f>
        <v>3.0417999999999998</v>
      </c>
      <c r="I64">
        <f>AVERAGE(I27:I31)</f>
        <v>2.9817999999999998</v>
      </c>
    </row>
    <row r="65" spans="1:9" x14ac:dyDescent="0.25">
      <c r="A65" s="1">
        <v>-0.3</v>
      </c>
      <c r="B65">
        <f t="shared" ref="B65:G65" si="3">AVERAGE(B38:B42)</f>
        <v>41.877200000000002</v>
      </c>
      <c r="C65">
        <f t="shared" si="3"/>
        <v>39.939799999999998</v>
      </c>
      <c r="D65">
        <f t="shared" si="3"/>
        <v>31.794799999999999</v>
      </c>
      <c r="E65">
        <f t="shared" si="3"/>
        <v>21.136599999999998</v>
      </c>
      <c r="F65">
        <f t="shared" si="3"/>
        <v>2.1138000000000003</v>
      </c>
      <c r="G65">
        <f t="shared" si="3"/>
        <v>1.0309999999999999</v>
      </c>
      <c r="H65">
        <f>AVERAGE(H38:H42)</f>
        <v>3.1024000000000003</v>
      </c>
      <c r="I65">
        <f>AVERAGE(I38:I42)</f>
        <v>3.0024000000000002</v>
      </c>
    </row>
    <row r="66" spans="1:9" x14ac:dyDescent="0.25">
      <c r="A66" s="1">
        <v>-0.7</v>
      </c>
      <c r="B66">
        <f t="shared" ref="B66:G66" si="4">AVERAGE(B50:B54)</f>
        <v>16.586000000000002</v>
      </c>
      <c r="C66">
        <f t="shared" si="4"/>
        <v>16.172999999999998</v>
      </c>
      <c r="D66">
        <f t="shared" si="4"/>
        <v>19.813600000000001</v>
      </c>
      <c r="E66">
        <f t="shared" si="4"/>
        <v>10.078799999999999</v>
      </c>
      <c r="F66">
        <f t="shared" si="4"/>
        <v>1.9006000000000001</v>
      </c>
      <c r="G66">
        <f t="shared" si="4"/>
        <v>0.94919999999999993</v>
      </c>
      <c r="H66">
        <f>AVERAGE(H50:H54)</f>
        <v>3.9652000000000003</v>
      </c>
      <c r="I66">
        <f>AVERAGE(I50:I54)</f>
        <v>3.1444000000000001</v>
      </c>
    </row>
  </sheetData>
  <mergeCells count="12">
    <mergeCell ref="A60:G60"/>
    <mergeCell ref="A1:G1"/>
    <mergeCell ref="A2:G2"/>
    <mergeCell ref="A13:G13"/>
    <mergeCell ref="A14:G14"/>
    <mergeCell ref="A24:G24"/>
    <mergeCell ref="A25:G25"/>
    <mergeCell ref="A35:G35"/>
    <mergeCell ref="A36:G36"/>
    <mergeCell ref="A47:G47"/>
    <mergeCell ref="A48:G48"/>
    <mergeCell ref="A59:G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5"/>
  <sheetViews>
    <sheetView topLeftCell="A92" zoomScale="70" zoomScaleNormal="70" workbookViewId="0">
      <selection activeCell="F101" sqref="F101"/>
    </sheetView>
  </sheetViews>
  <sheetFormatPr defaultRowHeight="15" x14ac:dyDescent="0.25"/>
  <cols>
    <col min="2" max="2" width="15.85546875" bestFit="1" customWidth="1"/>
    <col min="3" max="3" width="24" bestFit="1" customWidth="1"/>
    <col min="4" max="4" width="30.28515625" customWidth="1"/>
    <col min="5" max="5" width="38.28515625" bestFit="1" customWidth="1"/>
    <col min="6" max="6" width="23.28515625" bestFit="1" customWidth="1"/>
    <col min="8" max="8" width="21.85546875" bestFit="1" customWidth="1"/>
    <col min="9" max="9" width="23.28515625" bestFit="1" customWidth="1"/>
  </cols>
  <sheetData>
    <row r="1" spans="1:9" x14ac:dyDescent="0.25">
      <c r="A1" s="15" t="s">
        <v>18</v>
      </c>
      <c r="B1" s="15"/>
      <c r="C1" s="15"/>
      <c r="D1" s="15"/>
      <c r="E1" s="15"/>
      <c r="F1" s="15"/>
      <c r="G1" s="15"/>
    </row>
    <row r="2" spans="1:9" x14ac:dyDescent="0.25">
      <c r="A2" s="14" t="s">
        <v>15</v>
      </c>
      <c r="B2" s="14"/>
      <c r="C2" s="14"/>
      <c r="D2" s="14"/>
      <c r="E2" s="14"/>
      <c r="F2" s="14"/>
      <c r="G2" s="14"/>
    </row>
    <row r="3" spans="1:9" ht="30" x14ac:dyDescent="0.25">
      <c r="A3" s="5"/>
      <c r="B3" s="1" t="s">
        <v>5</v>
      </c>
      <c r="C3" s="6" t="s">
        <v>6</v>
      </c>
      <c r="D3" s="6" t="s">
        <v>7</v>
      </c>
      <c r="E3" s="6" t="s">
        <v>8</v>
      </c>
      <c r="F3" s="1" t="s">
        <v>1</v>
      </c>
      <c r="G3" s="1" t="s">
        <v>0</v>
      </c>
      <c r="H3" s="2" t="s">
        <v>25</v>
      </c>
      <c r="I3" s="11" t="s">
        <v>34</v>
      </c>
    </row>
    <row r="4" spans="1:9" x14ac:dyDescent="0.25">
      <c r="A4" s="1" t="s">
        <v>9</v>
      </c>
      <c r="B4">
        <v>0</v>
      </c>
      <c r="C4">
        <v>0</v>
      </c>
      <c r="D4">
        <v>0</v>
      </c>
      <c r="E4">
        <v>0</v>
      </c>
      <c r="F4">
        <v>0.49030000000000001</v>
      </c>
      <c r="G4">
        <v>0.47689999999999999</v>
      </c>
      <c r="H4">
        <v>0</v>
      </c>
      <c r="I4">
        <v>9.9900000000000003E-2</v>
      </c>
    </row>
    <row r="5" spans="1:9" x14ac:dyDescent="0.25">
      <c r="A5" s="1" t="s">
        <v>10</v>
      </c>
      <c r="B5">
        <v>0</v>
      </c>
      <c r="C5">
        <v>0</v>
      </c>
      <c r="D5">
        <v>0</v>
      </c>
      <c r="E5">
        <v>0</v>
      </c>
      <c r="F5">
        <v>0.48799999999999999</v>
      </c>
      <c r="G5">
        <v>0.49320000000000003</v>
      </c>
      <c r="H5">
        <v>0</v>
      </c>
      <c r="I5">
        <v>9.9900000000000003E-2</v>
      </c>
    </row>
    <row r="6" spans="1:9" x14ac:dyDescent="0.25">
      <c r="A6" s="1" t="s">
        <v>11</v>
      </c>
      <c r="B6">
        <v>0</v>
      </c>
      <c r="C6">
        <v>0</v>
      </c>
      <c r="D6">
        <v>0</v>
      </c>
      <c r="E6">
        <v>0</v>
      </c>
      <c r="F6">
        <v>0.48699999999999999</v>
      </c>
      <c r="G6">
        <v>0.495</v>
      </c>
      <c r="H6">
        <v>0</v>
      </c>
      <c r="I6">
        <v>0.14799999999999999</v>
      </c>
    </row>
    <row r="7" spans="1:9" x14ac:dyDescent="0.25">
      <c r="A7" s="1" t="s">
        <v>12</v>
      </c>
      <c r="B7">
        <v>0</v>
      </c>
      <c r="C7">
        <v>0</v>
      </c>
      <c r="D7">
        <v>0</v>
      </c>
      <c r="E7">
        <v>0</v>
      </c>
      <c r="F7">
        <v>0.48599999999999999</v>
      </c>
      <c r="G7">
        <v>0.4763</v>
      </c>
      <c r="H7">
        <v>0</v>
      </c>
      <c r="I7">
        <v>9.9900000000000003E-2</v>
      </c>
    </row>
    <row r="8" spans="1:9" x14ac:dyDescent="0.25">
      <c r="A8" s="1" t="s">
        <v>13</v>
      </c>
      <c r="B8">
        <v>0</v>
      </c>
      <c r="C8">
        <v>0</v>
      </c>
      <c r="D8">
        <v>0</v>
      </c>
      <c r="E8">
        <v>0</v>
      </c>
      <c r="F8">
        <v>0.48899999999999999</v>
      </c>
      <c r="G8">
        <v>0.47499999999999998</v>
      </c>
      <c r="H8">
        <v>0</v>
      </c>
      <c r="I8">
        <v>8.2600000000000007E-2</v>
      </c>
    </row>
    <row r="10" spans="1:9" x14ac:dyDescent="0.25">
      <c r="A10" s="20" t="s">
        <v>16</v>
      </c>
      <c r="B10" s="20"/>
      <c r="C10" s="20"/>
    </row>
    <row r="11" spans="1:9" x14ac:dyDescent="0.25">
      <c r="B11" s="1" t="s">
        <v>0</v>
      </c>
      <c r="C11" s="1" t="s">
        <v>1</v>
      </c>
      <c r="D11" s="2" t="s">
        <v>25</v>
      </c>
      <c r="E11" s="11" t="s">
        <v>26</v>
      </c>
    </row>
    <row r="12" spans="1:9" x14ac:dyDescent="0.25">
      <c r="A12" s="1" t="s">
        <v>9</v>
      </c>
      <c r="B12" s="4">
        <v>0.66890000000000005</v>
      </c>
      <c r="C12" s="4">
        <v>0.68730999999999998</v>
      </c>
      <c r="D12">
        <v>0</v>
      </c>
      <c r="E12" s="4">
        <v>9.5200000000000007E-2</v>
      </c>
    </row>
    <row r="13" spans="1:9" x14ac:dyDescent="0.25">
      <c r="A13" s="1" t="s">
        <v>10</v>
      </c>
      <c r="B13" s="4">
        <v>0.69010000000000005</v>
      </c>
      <c r="C13" s="4">
        <v>0.68610000000000004</v>
      </c>
      <c r="D13">
        <v>0</v>
      </c>
      <c r="E13" s="4">
        <v>0.17599999999999999</v>
      </c>
    </row>
    <row r="14" spans="1:9" x14ac:dyDescent="0.25">
      <c r="A14" s="1" t="s">
        <v>11</v>
      </c>
      <c r="B14" s="4">
        <v>0.69303000000000003</v>
      </c>
      <c r="C14" s="4">
        <v>0.68452900000000005</v>
      </c>
      <c r="D14">
        <v>0</v>
      </c>
      <c r="E14" s="4">
        <v>0.18240000000000001</v>
      </c>
    </row>
    <row r="15" spans="1:9" x14ac:dyDescent="0.25">
      <c r="A15" s="1" t="s">
        <v>12</v>
      </c>
      <c r="B15" s="4">
        <v>0.66954999999999998</v>
      </c>
      <c r="C15" s="4">
        <v>0.68391999999999997</v>
      </c>
      <c r="D15">
        <v>0</v>
      </c>
      <c r="E15" s="4">
        <v>0.17599999999999999</v>
      </c>
    </row>
    <row r="16" spans="1:9" x14ac:dyDescent="0.25">
      <c r="A16" s="1" t="s">
        <v>13</v>
      </c>
      <c r="B16" s="4">
        <v>0.66673000000000004</v>
      </c>
      <c r="C16" s="4">
        <v>0.69340999999999997</v>
      </c>
      <c r="D16">
        <v>0</v>
      </c>
      <c r="E16" s="4">
        <v>0.15565999999999999</v>
      </c>
    </row>
    <row r="18" spans="1:9" ht="36.75" customHeight="1" x14ac:dyDescent="0.25"/>
    <row r="21" spans="1:9" x14ac:dyDescent="0.25">
      <c r="A21" s="15" t="s">
        <v>20</v>
      </c>
      <c r="B21" s="15"/>
      <c r="C21" s="15"/>
      <c r="D21" s="15"/>
      <c r="E21" s="15"/>
      <c r="F21" s="15"/>
      <c r="G21" s="15"/>
    </row>
    <row r="22" spans="1:9" x14ac:dyDescent="0.25">
      <c r="A22" s="14" t="s">
        <v>15</v>
      </c>
      <c r="B22" s="14"/>
      <c r="C22" s="14"/>
      <c r="D22" s="14"/>
      <c r="E22" s="14"/>
      <c r="F22" s="14"/>
      <c r="G22" s="14"/>
    </row>
    <row r="23" spans="1:9" ht="30" x14ac:dyDescent="0.25">
      <c r="A23" s="5"/>
      <c r="B23" s="1" t="s">
        <v>5</v>
      </c>
      <c r="C23" s="6" t="s">
        <v>6</v>
      </c>
      <c r="D23" s="6" t="s">
        <v>7</v>
      </c>
      <c r="E23" s="6" t="s">
        <v>8</v>
      </c>
      <c r="F23" s="1" t="s">
        <v>1</v>
      </c>
      <c r="G23" s="1" t="s">
        <v>0</v>
      </c>
      <c r="H23" s="2" t="s">
        <v>25</v>
      </c>
      <c r="I23" s="11" t="s">
        <v>34</v>
      </c>
    </row>
    <row r="24" spans="1:9" x14ac:dyDescent="0.25">
      <c r="A24" s="1" t="s">
        <v>9</v>
      </c>
      <c r="B24">
        <v>0</v>
      </c>
      <c r="C24">
        <v>0</v>
      </c>
      <c r="D24">
        <v>0</v>
      </c>
      <c r="E24">
        <v>0</v>
      </c>
      <c r="F24">
        <v>0.24129999999999999</v>
      </c>
      <c r="G24">
        <v>0.28599999999999998</v>
      </c>
      <c r="H24">
        <v>0</v>
      </c>
      <c r="I24">
        <v>9.9959999999999993E-2</v>
      </c>
    </row>
    <row r="25" spans="1:9" x14ac:dyDescent="0.25">
      <c r="A25" s="1" t="s">
        <v>10</v>
      </c>
      <c r="B25">
        <v>0</v>
      </c>
      <c r="C25">
        <v>0</v>
      </c>
      <c r="D25">
        <v>0</v>
      </c>
      <c r="E25">
        <v>0</v>
      </c>
      <c r="F25">
        <v>0.24249999999999999</v>
      </c>
      <c r="G25">
        <v>0.27800000000000002</v>
      </c>
      <c r="H25">
        <v>0</v>
      </c>
      <c r="I25">
        <v>2.6100000000000002E-2</v>
      </c>
    </row>
    <row r="26" spans="1:9" x14ac:dyDescent="0.25">
      <c r="A26" s="1" t="s">
        <v>11</v>
      </c>
      <c r="B26">
        <v>0</v>
      </c>
      <c r="C26">
        <v>0</v>
      </c>
      <c r="D26">
        <v>0</v>
      </c>
      <c r="E26">
        <v>0</v>
      </c>
      <c r="F26">
        <v>0.26700000000000002</v>
      </c>
      <c r="G26">
        <v>0.28649999999999998</v>
      </c>
      <c r="H26">
        <v>0</v>
      </c>
      <c r="I26">
        <v>7.4999999999999997E-2</v>
      </c>
    </row>
    <row r="27" spans="1:9" x14ac:dyDescent="0.25">
      <c r="A27" s="1" t="s">
        <v>12</v>
      </c>
      <c r="B27">
        <v>0</v>
      </c>
      <c r="C27">
        <v>0</v>
      </c>
      <c r="D27">
        <v>0</v>
      </c>
      <c r="E27">
        <v>0</v>
      </c>
      <c r="F27">
        <v>0.26900000000000002</v>
      </c>
      <c r="G27">
        <v>0.28599999999999998</v>
      </c>
      <c r="H27">
        <v>0</v>
      </c>
      <c r="I27">
        <v>9.3899999999999997E-2</v>
      </c>
    </row>
    <row r="28" spans="1:9" x14ac:dyDescent="0.25">
      <c r="A28" s="1" t="s">
        <v>13</v>
      </c>
      <c r="B28">
        <v>0</v>
      </c>
      <c r="C28">
        <v>0</v>
      </c>
      <c r="D28">
        <v>0</v>
      </c>
      <c r="E28">
        <v>0</v>
      </c>
      <c r="F28">
        <v>0.27</v>
      </c>
      <c r="G28">
        <v>0.28599999999999998</v>
      </c>
      <c r="H28">
        <v>0</v>
      </c>
      <c r="I28">
        <v>9.9900000000000003E-2</v>
      </c>
    </row>
    <row r="30" spans="1:9" x14ac:dyDescent="0.25">
      <c r="A30" s="20" t="s">
        <v>16</v>
      </c>
      <c r="B30" s="20"/>
      <c r="C30" s="20"/>
    </row>
    <row r="31" spans="1:9" x14ac:dyDescent="0.25">
      <c r="B31" s="1" t="s">
        <v>0</v>
      </c>
      <c r="C31" s="1" t="s">
        <v>1</v>
      </c>
      <c r="D31" s="2" t="s">
        <v>25</v>
      </c>
      <c r="E31" s="11" t="s">
        <v>26</v>
      </c>
    </row>
    <row r="32" spans="1:9" x14ac:dyDescent="0.25">
      <c r="A32" s="1" t="s">
        <v>9</v>
      </c>
      <c r="B32" s="4">
        <v>0.31175000000000003</v>
      </c>
      <c r="C32" s="4">
        <v>0.26079000000000002</v>
      </c>
      <c r="D32">
        <v>0</v>
      </c>
      <c r="E32" s="4">
        <v>0.1152</v>
      </c>
    </row>
    <row r="33" spans="1:9" x14ac:dyDescent="0.25">
      <c r="A33" s="1" t="s">
        <v>10</v>
      </c>
      <c r="B33" s="4">
        <v>0.30134</v>
      </c>
      <c r="C33" s="4">
        <v>0.26279999999999998</v>
      </c>
      <c r="D33">
        <v>0</v>
      </c>
      <c r="E33" s="4">
        <v>2.6669999999999999E-2</v>
      </c>
    </row>
    <row r="34" spans="1:9" x14ac:dyDescent="0.25">
      <c r="A34" s="1" t="s">
        <v>11</v>
      </c>
      <c r="B34" s="4">
        <v>0.31133</v>
      </c>
      <c r="C34" s="4">
        <v>0.28989999999999999</v>
      </c>
      <c r="D34">
        <v>0</v>
      </c>
      <c r="E34" s="4">
        <v>7.9829999999999998E-2</v>
      </c>
    </row>
    <row r="35" spans="1:9" x14ac:dyDescent="0.25">
      <c r="A35" s="1" t="s">
        <v>12</v>
      </c>
      <c r="B35" s="4">
        <v>0.30869999999999997</v>
      </c>
      <c r="C35" s="4">
        <v>0.29266999999999999</v>
      </c>
      <c r="D35">
        <v>0</v>
      </c>
      <c r="E35" s="4">
        <v>9.9860000000000004E-2</v>
      </c>
    </row>
    <row r="36" spans="1:9" x14ac:dyDescent="0.25">
      <c r="A36" s="1" t="s">
        <v>13</v>
      </c>
      <c r="B36" s="4">
        <v>0.30884</v>
      </c>
      <c r="C36" s="4">
        <v>0.29311999999999999</v>
      </c>
      <c r="D36">
        <v>0</v>
      </c>
      <c r="E36" s="4">
        <v>0.12235</v>
      </c>
    </row>
    <row r="40" spans="1:9" x14ac:dyDescent="0.25">
      <c r="A40" s="15" t="s">
        <v>21</v>
      </c>
      <c r="B40" s="15"/>
      <c r="C40" s="15"/>
      <c r="D40" s="15"/>
      <c r="E40" s="15"/>
      <c r="F40" s="15"/>
      <c r="G40" s="15"/>
    </row>
    <row r="41" spans="1:9" x14ac:dyDescent="0.25">
      <c r="A41" s="14" t="s">
        <v>15</v>
      </c>
      <c r="B41" s="14"/>
      <c r="C41" s="14"/>
      <c r="D41" s="14"/>
      <c r="E41" s="14"/>
      <c r="F41" s="14"/>
      <c r="G41" s="14"/>
    </row>
    <row r="42" spans="1:9" ht="30" x14ac:dyDescent="0.25">
      <c r="A42" s="5"/>
      <c r="B42" s="1" t="s">
        <v>5</v>
      </c>
      <c r="C42" s="6" t="s">
        <v>6</v>
      </c>
      <c r="D42" s="6" t="s">
        <v>7</v>
      </c>
      <c r="E42" s="6" t="s">
        <v>8</v>
      </c>
      <c r="F42" s="1" t="s">
        <v>1</v>
      </c>
      <c r="G42" s="1" t="s">
        <v>0</v>
      </c>
      <c r="H42" s="2" t="s">
        <v>25</v>
      </c>
      <c r="I42" s="11" t="s">
        <v>34</v>
      </c>
    </row>
    <row r="43" spans="1:9" x14ac:dyDescent="0.25">
      <c r="A43" s="1" t="s">
        <v>9</v>
      </c>
      <c r="B43">
        <v>0</v>
      </c>
      <c r="C43">
        <v>0</v>
      </c>
      <c r="D43">
        <v>0</v>
      </c>
      <c r="E43">
        <v>0</v>
      </c>
      <c r="F43">
        <v>1.1900000000000001E-2</v>
      </c>
      <c r="G43">
        <v>8.6999999999999994E-3</v>
      </c>
      <c r="H43">
        <v>0</v>
      </c>
      <c r="I43">
        <v>8.3799999999999999E-2</v>
      </c>
    </row>
    <row r="44" spans="1:9" x14ac:dyDescent="0.25">
      <c r="A44" s="1" t="s">
        <v>10</v>
      </c>
      <c r="B44">
        <v>0</v>
      </c>
      <c r="C44">
        <v>0</v>
      </c>
      <c r="D44">
        <v>0</v>
      </c>
      <c r="E44">
        <v>0</v>
      </c>
      <c r="F44">
        <v>1.4E-2</v>
      </c>
      <c r="G44">
        <v>8.0000000000000002E-3</v>
      </c>
      <c r="H44">
        <v>0</v>
      </c>
      <c r="I44">
        <v>7.3400000000000007E-2</v>
      </c>
    </row>
    <row r="45" spans="1:9" x14ac:dyDescent="0.25">
      <c r="A45" s="1" t="s">
        <v>11</v>
      </c>
      <c r="B45">
        <v>0</v>
      </c>
      <c r="C45">
        <v>0</v>
      </c>
      <c r="D45">
        <v>0</v>
      </c>
      <c r="E45">
        <v>0</v>
      </c>
      <c r="F45">
        <v>1.7000000000000001E-2</v>
      </c>
      <c r="G45">
        <v>7.4999999999999997E-3</v>
      </c>
      <c r="H45">
        <v>0</v>
      </c>
      <c r="I45">
        <v>9.0109999999999996E-2</v>
      </c>
    </row>
    <row r="46" spans="1:9" x14ac:dyDescent="0.25">
      <c r="A46" s="1" t="s">
        <v>12</v>
      </c>
      <c r="B46">
        <v>0</v>
      </c>
      <c r="C46">
        <v>0</v>
      </c>
      <c r="D46">
        <v>0</v>
      </c>
      <c r="E46">
        <v>0</v>
      </c>
      <c r="F46">
        <v>1.29E-2</v>
      </c>
      <c r="G46">
        <v>9.7999999999999997E-3</v>
      </c>
      <c r="H46">
        <v>0</v>
      </c>
      <c r="I46">
        <v>9.69E-2</v>
      </c>
    </row>
    <row r="47" spans="1:9" x14ac:dyDescent="0.25">
      <c r="A47" s="1" t="s">
        <v>13</v>
      </c>
      <c r="B47">
        <v>0</v>
      </c>
      <c r="C47">
        <v>0</v>
      </c>
      <c r="D47">
        <v>0</v>
      </c>
      <c r="E47">
        <v>0</v>
      </c>
      <c r="F47">
        <v>9.7999999999999997E-3</v>
      </c>
      <c r="G47">
        <v>8.8000000000000005E-3</v>
      </c>
      <c r="H47">
        <v>0</v>
      </c>
      <c r="I47">
        <v>8.5370000000000001E-2</v>
      </c>
    </row>
    <row r="49" spans="1:9" x14ac:dyDescent="0.25">
      <c r="A49" s="20" t="s">
        <v>16</v>
      </c>
      <c r="B49" s="20"/>
      <c r="C49" s="20"/>
    </row>
    <row r="50" spans="1:9" x14ac:dyDescent="0.25">
      <c r="B50" s="1" t="s">
        <v>0</v>
      </c>
      <c r="C50" s="1" t="s">
        <v>1</v>
      </c>
      <c r="D50" s="2" t="s">
        <v>25</v>
      </c>
      <c r="E50" s="11" t="s">
        <v>26</v>
      </c>
    </row>
    <row r="51" spans="1:9" x14ac:dyDescent="0.25">
      <c r="A51" s="1" t="s">
        <v>9</v>
      </c>
      <c r="B51" s="4">
        <v>8.7139999999999995E-3</v>
      </c>
      <c r="C51" s="4">
        <v>9.3500000000000007E-3</v>
      </c>
      <c r="D51">
        <v>0</v>
      </c>
      <c r="E51" s="4">
        <v>3.3834000000000003E-2</v>
      </c>
    </row>
    <row r="52" spans="1:9" x14ac:dyDescent="0.25">
      <c r="A52" s="1" t="s">
        <v>10</v>
      </c>
      <c r="B52" s="4">
        <v>8.0700000000000008E-3</v>
      </c>
      <c r="C52" s="4">
        <v>1.166E-2</v>
      </c>
      <c r="D52">
        <v>0</v>
      </c>
      <c r="E52" s="4">
        <v>4.3439999999999999E-2</v>
      </c>
    </row>
    <row r="53" spans="1:9" x14ac:dyDescent="0.25">
      <c r="A53" s="1" t="s">
        <v>11</v>
      </c>
      <c r="B53" s="4">
        <v>7.5599999999999999E-3</v>
      </c>
      <c r="C53" s="4">
        <v>1.704E-2</v>
      </c>
      <c r="D53">
        <v>0</v>
      </c>
      <c r="E53" s="4">
        <v>3.0110000000000001E-2</v>
      </c>
    </row>
    <row r="54" spans="1:9" x14ac:dyDescent="0.25">
      <c r="A54" s="1" t="s">
        <v>12</v>
      </c>
      <c r="B54" s="4">
        <v>9.8600000000000007E-3</v>
      </c>
      <c r="C54" s="4">
        <v>1.294E-2</v>
      </c>
      <c r="D54">
        <v>0</v>
      </c>
      <c r="E54" s="4">
        <v>2.6914E-2</v>
      </c>
    </row>
    <row r="55" spans="1:9" x14ac:dyDescent="0.25">
      <c r="A55" s="1" t="s">
        <v>13</v>
      </c>
      <c r="B55" s="4">
        <v>8.8400000000000006E-3</v>
      </c>
      <c r="C55" s="4">
        <v>9.8600000000000007E-3</v>
      </c>
      <c r="D55">
        <v>0</v>
      </c>
      <c r="E55" s="4">
        <v>2.537E-2</v>
      </c>
    </row>
    <row r="59" spans="1:9" x14ac:dyDescent="0.25">
      <c r="A59" s="15" t="s">
        <v>22</v>
      </c>
      <c r="B59" s="15"/>
      <c r="C59" s="15"/>
      <c r="D59" s="15"/>
      <c r="E59" s="15"/>
      <c r="F59" s="15"/>
      <c r="G59" s="15"/>
    </row>
    <row r="60" spans="1:9" x14ac:dyDescent="0.25">
      <c r="A60" s="14" t="s">
        <v>15</v>
      </c>
      <c r="B60" s="14"/>
      <c r="C60" s="14"/>
      <c r="D60" s="14"/>
      <c r="E60" s="14"/>
      <c r="F60" s="14"/>
      <c r="G60" s="14"/>
    </row>
    <row r="61" spans="1:9" ht="30" x14ac:dyDescent="0.25">
      <c r="A61" s="5"/>
      <c r="B61" s="1" t="s">
        <v>5</v>
      </c>
      <c r="C61" s="6" t="s">
        <v>6</v>
      </c>
      <c r="D61" s="6" t="s">
        <v>7</v>
      </c>
      <c r="E61" s="6" t="s">
        <v>8</v>
      </c>
      <c r="F61" s="1" t="s">
        <v>1</v>
      </c>
      <c r="G61" s="1" t="s">
        <v>0</v>
      </c>
      <c r="H61" s="2" t="s">
        <v>25</v>
      </c>
      <c r="I61" s="11" t="s">
        <v>34</v>
      </c>
    </row>
    <row r="62" spans="1:9" x14ac:dyDescent="0.25">
      <c r="A62" s="1" t="s">
        <v>9</v>
      </c>
      <c r="B62">
        <v>0</v>
      </c>
      <c r="C62">
        <v>0</v>
      </c>
      <c r="D62">
        <v>0.17499999999999999</v>
      </c>
      <c r="E62">
        <v>0</v>
      </c>
      <c r="F62">
        <v>0.33700000000000002</v>
      </c>
      <c r="G62">
        <v>0.34899999999999998</v>
      </c>
      <c r="H62">
        <v>0</v>
      </c>
      <c r="I62">
        <v>8.3799999999999999E-2</v>
      </c>
    </row>
    <row r="63" spans="1:9" x14ac:dyDescent="0.25">
      <c r="A63" s="1" t="s">
        <v>10</v>
      </c>
      <c r="B63">
        <v>0</v>
      </c>
      <c r="C63">
        <v>0</v>
      </c>
      <c r="D63">
        <v>0.159</v>
      </c>
      <c r="E63">
        <v>0</v>
      </c>
      <c r="F63">
        <v>0.33500000000000002</v>
      </c>
      <c r="G63">
        <v>0.33400000000000002</v>
      </c>
      <c r="H63">
        <v>0</v>
      </c>
      <c r="I63">
        <v>8.3400000000000002E-2</v>
      </c>
    </row>
    <row r="64" spans="1:9" x14ac:dyDescent="0.25">
      <c r="A64" s="1" t="s">
        <v>11</v>
      </c>
      <c r="B64">
        <v>0</v>
      </c>
      <c r="C64">
        <v>0</v>
      </c>
      <c r="D64">
        <v>6.7599999999999993E-2</v>
      </c>
      <c r="E64">
        <v>0</v>
      </c>
      <c r="F64">
        <v>0.34200000000000003</v>
      </c>
      <c r="G64">
        <v>0.35199999999999998</v>
      </c>
      <c r="H64">
        <v>0</v>
      </c>
      <c r="I64">
        <v>9.0109999999999996E-2</v>
      </c>
    </row>
    <row r="65" spans="1:9" x14ac:dyDescent="0.25">
      <c r="A65" s="1" t="s">
        <v>12</v>
      </c>
      <c r="B65">
        <v>0</v>
      </c>
      <c r="C65">
        <v>0</v>
      </c>
      <c r="D65">
        <v>0.15690000000000001</v>
      </c>
      <c r="E65">
        <v>0</v>
      </c>
      <c r="F65">
        <v>0.34</v>
      </c>
      <c r="G65">
        <v>0.35099999999999998</v>
      </c>
      <c r="H65">
        <v>0</v>
      </c>
      <c r="I65">
        <v>0.1069</v>
      </c>
    </row>
    <row r="66" spans="1:9" x14ac:dyDescent="0.25">
      <c r="A66" s="1" t="s">
        <v>13</v>
      </c>
      <c r="B66">
        <v>0</v>
      </c>
      <c r="C66">
        <v>0</v>
      </c>
      <c r="D66">
        <v>0.158</v>
      </c>
      <c r="E66">
        <v>0</v>
      </c>
      <c r="F66">
        <v>0.34300000000000003</v>
      </c>
      <c r="G66">
        <v>0.35499999999999998</v>
      </c>
      <c r="H66">
        <v>0</v>
      </c>
      <c r="I66">
        <v>0.10537000000000001</v>
      </c>
    </row>
    <row r="68" spans="1:9" x14ac:dyDescent="0.25">
      <c r="A68" s="20" t="s">
        <v>16</v>
      </c>
      <c r="B68" s="20"/>
      <c r="C68" s="20"/>
    </row>
    <row r="69" spans="1:9" ht="30" x14ac:dyDescent="0.25">
      <c r="B69" s="1" t="s">
        <v>0</v>
      </c>
      <c r="C69" s="1" t="s">
        <v>1</v>
      </c>
      <c r="D69" s="6" t="s">
        <v>7</v>
      </c>
      <c r="E69" s="2" t="s">
        <v>25</v>
      </c>
      <c r="F69" s="11" t="s">
        <v>26</v>
      </c>
    </row>
    <row r="70" spans="1:9" x14ac:dyDescent="0.25">
      <c r="A70" s="1" t="s">
        <v>9</v>
      </c>
      <c r="B70" s="4">
        <v>0.408835</v>
      </c>
      <c r="C70" s="4">
        <v>0.39327000000000001</v>
      </c>
      <c r="D70" s="8">
        <v>0.30282999999999999</v>
      </c>
      <c r="E70">
        <v>0</v>
      </c>
      <c r="F70" s="4">
        <v>1.754E-2</v>
      </c>
    </row>
    <row r="71" spans="1:9" x14ac:dyDescent="0.25">
      <c r="A71" s="1" t="s">
        <v>10</v>
      </c>
      <c r="B71" s="4">
        <v>0.39076899999999998</v>
      </c>
      <c r="C71" s="4">
        <v>0.39088000000000001</v>
      </c>
      <c r="D71" s="8">
        <v>0.33334999999999998</v>
      </c>
      <c r="E71">
        <v>0</v>
      </c>
      <c r="F71" s="4">
        <v>9.6609E-3</v>
      </c>
    </row>
    <row r="72" spans="1:9" x14ac:dyDescent="0.25">
      <c r="A72" s="1" t="s">
        <v>11</v>
      </c>
      <c r="B72" s="4">
        <v>0.41109000000000001</v>
      </c>
      <c r="C72" s="4">
        <v>0.39953</v>
      </c>
      <c r="D72" s="8">
        <v>0.18232000000000001</v>
      </c>
      <c r="E72">
        <v>0</v>
      </c>
      <c r="F72" s="4">
        <v>3.1947000000000003E-2</v>
      </c>
    </row>
    <row r="73" spans="1:9" x14ac:dyDescent="0.25">
      <c r="A73" s="1" t="s">
        <v>12</v>
      </c>
      <c r="B73" s="4">
        <v>0.40953000000000001</v>
      </c>
      <c r="C73" s="4">
        <v>0.39521000000000001</v>
      </c>
      <c r="D73" s="8">
        <v>0.28283000000000003</v>
      </c>
      <c r="E73">
        <v>0</v>
      </c>
      <c r="F73" s="4">
        <v>2.6522899999999999E-2</v>
      </c>
    </row>
    <row r="74" spans="1:9" x14ac:dyDescent="0.25">
      <c r="A74" s="1" t="s">
        <v>13</v>
      </c>
      <c r="B74" s="4">
        <v>0.41572999999999999</v>
      </c>
      <c r="C74" s="4">
        <v>0.39983000000000002</v>
      </c>
      <c r="D74" s="8">
        <v>0.18848000000000001</v>
      </c>
      <c r="E74">
        <v>0</v>
      </c>
      <c r="F74" s="4">
        <v>4.743E-2</v>
      </c>
    </row>
    <row r="78" spans="1:9" x14ac:dyDescent="0.25">
      <c r="A78" s="15" t="s">
        <v>23</v>
      </c>
      <c r="B78" s="15"/>
      <c r="C78" s="15"/>
      <c r="D78" s="15"/>
      <c r="E78" s="15"/>
      <c r="F78" s="15"/>
      <c r="G78" s="15"/>
    </row>
    <row r="79" spans="1:9" x14ac:dyDescent="0.25">
      <c r="A79" s="14" t="s">
        <v>15</v>
      </c>
      <c r="B79" s="14"/>
      <c r="C79" s="14"/>
      <c r="D79" s="14"/>
      <c r="E79" s="14"/>
      <c r="F79" s="14"/>
      <c r="G79" s="14"/>
    </row>
    <row r="80" spans="1:9" ht="30" x14ac:dyDescent="0.25">
      <c r="A80" s="5"/>
      <c r="B80" s="1" t="s">
        <v>5</v>
      </c>
      <c r="C80" s="6" t="s">
        <v>6</v>
      </c>
      <c r="D80" s="6" t="s">
        <v>7</v>
      </c>
      <c r="E80" s="6" t="s">
        <v>8</v>
      </c>
      <c r="F80" s="1" t="s">
        <v>1</v>
      </c>
      <c r="G80" s="1" t="s">
        <v>0</v>
      </c>
      <c r="H80" s="2" t="s">
        <v>25</v>
      </c>
      <c r="I80" s="11" t="s">
        <v>34</v>
      </c>
    </row>
    <row r="81" spans="1:9" x14ac:dyDescent="0.25">
      <c r="A81" s="1" t="s">
        <v>9</v>
      </c>
      <c r="B81">
        <v>0</v>
      </c>
      <c r="C81">
        <v>0</v>
      </c>
      <c r="D81">
        <v>0.44500000000000001</v>
      </c>
      <c r="E81">
        <v>0</v>
      </c>
      <c r="F81">
        <v>0.89900000000000002</v>
      </c>
      <c r="G81">
        <v>0.72599999999999998</v>
      </c>
      <c r="H81">
        <v>0</v>
      </c>
      <c r="I81">
        <v>1.038E-2</v>
      </c>
    </row>
    <row r="82" spans="1:9" x14ac:dyDescent="0.25">
      <c r="A82" s="1" t="s">
        <v>10</v>
      </c>
      <c r="B82">
        <v>0</v>
      </c>
      <c r="C82">
        <v>0</v>
      </c>
      <c r="D82">
        <v>0.38300000000000001</v>
      </c>
      <c r="E82">
        <v>0</v>
      </c>
      <c r="F82">
        <v>0.91200000000000003</v>
      </c>
      <c r="G82">
        <v>0.94799999999999995</v>
      </c>
      <c r="H82">
        <v>0</v>
      </c>
      <c r="I82">
        <v>1.7899999999999999E-2</v>
      </c>
    </row>
    <row r="83" spans="1:9" x14ac:dyDescent="0.25">
      <c r="A83" s="1" t="s">
        <v>11</v>
      </c>
      <c r="B83">
        <v>0</v>
      </c>
      <c r="C83">
        <v>0</v>
      </c>
      <c r="D83">
        <v>0.42</v>
      </c>
      <c r="E83">
        <v>0</v>
      </c>
      <c r="F83">
        <v>0.90300000000000002</v>
      </c>
      <c r="G83">
        <v>0.91100000000000003</v>
      </c>
      <c r="H83">
        <v>0</v>
      </c>
      <c r="I83">
        <v>2.46E-2</v>
      </c>
    </row>
    <row r="84" spans="1:9" x14ac:dyDescent="0.25">
      <c r="A84" s="1" t="s">
        <v>12</v>
      </c>
      <c r="B84">
        <v>0</v>
      </c>
      <c r="C84">
        <v>0</v>
      </c>
      <c r="D84">
        <v>0.45300000000000001</v>
      </c>
      <c r="E84">
        <v>0</v>
      </c>
      <c r="F84">
        <v>0.89800000000000002</v>
      </c>
      <c r="G84">
        <v>0.9113</v>
      </c>
      <c r="H84">
        <v>0</v>
      </c>
      <c r="I84">
        <v>2.3300000000000001E-2</v>
      </c>
    </row>
    <row r="85" spans="1:9" x14ac:dyDescent="0.25">
      <c r="A85" s="1" t="s">
        <v>13</v>
      </c>
      <c r="B85">
        <v>0</v>
      </c>
      <c r="C85">
        <v>0</v>
      </c>
      <c r="D85">
        <v>0.44500000000000001</v>
      </c>
      <c r="E85">
        <v>0</v>
      </c>
      <c r="F85">
        <v>0.91049999999999998</v>
      </c>
      <c r="G85">
        <v>0.91400000000000003</v>
      </c>
      <c r="H85">
        <v>0</v>
      </c>
      <c r="I85">
        <v>2.1010000000000001E-2</v>
      </c>
    </row>
    <row r="87" spans="1:9" x14ac:dyDescent="0.25">
      <c r="A87" s="20" t="s">
        <v>16</v>
      </c>
      <c r="B87" s="20"/>
      <c r="C87" s="20"/>
    </row>
    <row r="88" spans="1:9" ht="30" x14ac:dyDescent="0.25">
      <c r="B88" s="1" t="s">
        <v>0</v>
      </c>
      <c r="C88" s="1" t="s">
        <v>1</v>
      </c>
      <c r="D88" s="6" t="s">
        <v>7</v>
      </c>
      <c r="E88" s="2" t="s">
        <v>25</v>
      </c>
      <c r="F88" s="11" t="s">
        <v>26</v>
      </c>
    </row>
    <row r="89" spans="1:9" x14ac:dyDescent="0.25">
      <c r="A89" s="1" t="s">
        <v>9</v>
      </c>
      <c r="B89" s="4">
        <v>3.8947099999999999</v>
      </c>
      <c r="C89" s="4">
        <v>3.9096299999999999</v>
      </c>
      <c r="D89" s="4">
        <v>2.8532060000000001</v>
      </c>
      <c r="E89" s="4">
        <v>0</v>
      </c>
      <c r="F89" s="4">
        <v>5.8440000000000006E-2</v>
      </c>
    </row>
    <row r="90" spans="1:9" x14ac:dyDescent="0.25">
      <c r="A90" s="1" t="s">
        <v>10</v>
      </c>
      <c r="B90" s="4">
        <v>3.8492199999999999</v>
      </c>
      <c r="C90" s="4">
        <v>3.9738600000000002</v>
      </c>
      <c r="D90" s="4">
        <v>2.3664999999999998</v>
      </c>
      <c r="E90" s="4">
        <v>0</v>
      </c>
      <c r="F90" s="4">
        <v>5.6840000000000002E-2</v>
      </c>
    </row>
    <row r="91" spans="1:9" x14ac:dyDescent="0.25">
      <c r="A91" s="1" t="s">
        <v>11</v>
      </c>
      <c r="B91" s="4">
        <v>3.9912299999999998</v>
      </c>
      <c r="C91" s="4">
        <v>3.9405700000000001</v>
      </c>
      <c r="D91" s="4">
        <v>1.1899</v>
      </c>
      <c r="E91" s="4">
        <v>0</v>
      </c>
      <c r="F91" s="4">
        <v>0.10604</v>
      </c>
    </row>
    <row r="92" spans="1:9" x14ac:dyDescent="0.25">
      <c r="A92" s="1" t="s">
        <v>12</v>
      </c>
      <c r="B92" s="4">
        <v>4.0046999999999997</v>
      </c>
      <c r="C92" s="4">
        <v>3.89927</v>
      </c>
      <c r="D92" s="4">
        <v>1.8507499999999999</v>
      </c>
      <c r="E92" s="4">
        <v>0</v>
      </c>
      <c r="F92" s="4">
        <v>5.8834999999999998E-2</v>
      </c>
    </row>
    <row r="93" spans="1:9" x14ac:dyDescent="0.25">
      <c r="A93" s="1" t="s">
        <v>13</v>
      </c>
      <c r="B93" s="4">
        <v>4.0006500000000003</v>
      </c>
      <c r="C93" s="4">
        <v>3.9471699999999998</v>
      </c>
      <c r="D93" s="4">
        <v>1.42946</v>
      </c>
      <c r="E93" s="4">
        <v>0</v>
      </c>
      <c r="F93" s="4">
        <v>0.110092</v>
      </c>
    </row>
    <row r="98" spans="1:7" x14ac:dyDescent="0.25">
      <c r="A98" s="16" t="s">
        <v>17</v>
      </c>
      <c r="B98" s="16"/>
      <c r="C98" s="16"/>
      <c r="D98" s="16"/>
      <c r="E98" s="16"/>
      <c r="F98" s="16"/>
      <c r="G98" s="16"/>
    </row>
    <row r="99" spans="1:7" x14ac:dyDescent="0.25">
      <c r="A99" s="14" t="s">
        <v>4</v>
      </c>
      <c r="B99" s="14"/>
      <c r="C99" s="14"/>
      <c r="D99" s="14"/>
      <c r="E99" s="14"/>
      <c r="F99" s="14"/>
      <c r="G99" s="14"/>
    </row>
    <row r="100" spans="1:7" x14ac:dyDescent="0.25">
      <c r="A100" s="9"/>
      <c r="B100" s="1" t="s">
        <v>7</v>
      </c>
      <c r="C100" s="1" t="s">
        <v>1</v>
      </c>
      <c r="D100" s="1" t="s">
        <v>0</v>
      </c>
      <c r="E100" s="2" t="s">
        <v>36</v>
      </c>
      <c r="F100" s="11" t="s">
        <v>37</v>
      </c>
    </row>
    <row r="101" spans="1:7" x14ac:dyDescent="0.25">
      <c r="A101" s="1">
        <v>0.7</v>
      </c>
      <c r="B101" s="13">
        <f>AVERAGE(D4:D8)</f>
        <v>0</v>
      </c>
      <c r="C101" s="13">
        <f>AVERAGE(F4:F8)</f>
        <v>0.48806000000000005</v>
      </c>
      <c r="D101" s="13">
        <f>AVERAGE(G4:G8)</f>
        <v>0.48327999999999999</v>
      </c>
      <c r="E101" s="13">
        <f>AVERAGE(H4:H8)</f>
        <v>0</v>
      </c>
      <c r="F101" s="13">
        <f>AVERAGE(I4:I8)</f>
        <v>0.10606</v>
      </c>
    </row>
    <row r="102" spans="1:7" x14ac:dyDescent="0.25">
      <c r="A102" s="1">
        <v>0.3</v>
      </c>
      <c r="B102" s="13">
        <f>AVERAGE(D24:D28)</f>
        <v>0</v>
      </c>
      <c r="C102" s="13">
        <f>AVERAGE(F24:F28)</f>
        <v>0.25796000000000002</v>
      </c>
      <c r="D102" s="13">
        <f>AVERAGE(G24:G28)</f>
        <v>0.28450000000000003</v>
      </c>
      <c r="E102" s="13">
        <f>AVERAGE(H24:H28)</f>
        <v>0</v>
      </c>
      <c r="F102" s="13">
        <f>AVERAGE(I24:I28)</f>
        <v>7.8972000000000001E-2</v>
      </c>
    </row>
    <row r="103" spans="1:7" x14ac:dyDescent="0.25">
      <c r="A103" s="1">
        <v>0</v>
      </c>
      <c r="B103">
        <f>AVERAGE(D43:D47)</f>
        <v>0</v>
      </c>
      <c r="C103" s="13">
        <f>AVERAGE(F43:F47)</f>
        <v>1.3120000000000001E-2</v>
      </c>
      <c r="D103" s="13">
        <f>AVERAGE(G43:G47)</f>
        <v>8.5600000000000016E-3</v>
      </c>
      <c r="E103" s="13">
        <f>AVERAGE(H43:H47)</f>
        <v>0</v>
      </c>
      <c r="F103" s="13">
        <f>AVERAGE(I43:I47)</f>
        <v>8.5916000000000006E-2</v>
      </c>
    </row>
    <row r="104" spans="1:7" x14ac:dyDescent="0.25">
      <c r="A104" s="1">
        <v>-0.3</v>
      </c>
      <c r="B104" s="13">
        <f>AVERAGE(D62:D66)</f>
        <v>0.14330000000000001</v>
      </c>
      <c r="C104" s="13">
        <f>AVERAGE(F62:F66)</f>
        <v>0.33940000000000003</v>
      </c>
      <c r="D104" s="13">
        <f>AVERAGE(G62:G66)</f>
        <v>0.34820000000000001</v>
      </c>
      <c r="E104" s="13">
        <f>AVERAGE(H62:H66)</f>
        <v>0</v>
      </c>
      <c r="F104" s="13">
        <f>AVERAGE(I62:I66)</f>
        <v>9.3916000000000013E-2</v>
      </c>
    </row>
    <row r="105" spans="1:7" x14ac:dyDescent="0.25">
      <c r="A105" s="1">
        <v>-0.7</v>
      </c>
      <c r="B105" s="13">
        <f>AVERAGE(D81:D85)</f>
        <v>0.42919999999999997</v>
      </c>
      <c r="C105" s="13">
        <f>AVERAGE(F81:F85)</f>
        <v>0.90449999999999997</v>
      </c>
      <c r="D105" s="13">
        <f>AVERAGE(G81:G85)</f>
        <v>0.88205999999999984</v>
      </c>
      <c r="E105">
        <f>AVERAGE(H81:H85)</f>
        <v>0</v>
      </c>
      <c r="F105" s="13">
        <f>AVERAGE(I81:I85)</f>
        <v>1.9438E-2</v>
      </c>
    </row>
    <row r="106" spans="1:7" x14ac:dyDescent="0.25">
      <c r="E106" s="13"/>
    </row>
    <row r="109" spans="1:7" x14ac:dyDescent="0.25">
      <c r="A109" s="20" t="s">
        <v>16</v>
      </c>
      <c r="B109" s="20"/>
      <c r="C109" s="20"/>
    </row>
    <row r="110" spans="1:7" ht="30" x14ac:dyDescent="0.25">
      <c r="B110" s="1" t="s">
        <v>0</v>
      </c>
      <c r="C110" s="1" t="s">
        <v>1</v>
      </c>
      <c r="D110" s="6" t="s">
        <v>7</v>
      </c>
      <c r="E110" s="2" t="s">
        <v>33</v>
      </c>
      <c r="F110" s="11" t="s">
        <v>34</v>
      </c>
    </row>
    <row r="111" spans="1:7" x14ac:dyDescent="0.25">
      <c r="A111" s="1">
        <v>0.7</v>
      </c>
      <c r="B111" s="4">
        <f>AVERAGE(B12:B16)</f>
        <v>0.6776620000000001</v>
      </c>
      <c r="C111" s="4">
        <f>AVERAGE(C12:C16)</f>
        <v>0.68705380000000005</v>
      </c>
      <c r="D111" s="8">
        <v>0</v>
      </c>
      <c r="E111">
        <v>0</v>
      </c>
      <c r="F111" s="4">
        <f>AVERAGE(E12:E16)</f>
        <v>0.157052</v>
      </c>
    </row>
    <row r="112" spans="1:7" x14ac:dyDescent="0.25">
      <c r="A112" s="1">
        <v>0.3</v>
      </c>
      <c r="B112" s="4">
        <f>AVERAGE(B32:B36)</f>
        <v>0.308392</v>
      </c>
      <c r="C112" s="4">
        <f>AVERAGE(C32:C36)</f>
        <v>0.27985599999999999</v>
      </c>
      <c r="D112" s="8">
        <v>0</v>
      </c>
      <c r="E112">
        <v>0</v>
      </c>
      <c r="F112" s="4">
        <f>AVERAGE(E32:E36)</f>
        <v>8.8782E-2</v>
      </c>
    </row>
    <row r="113" spans="1:6" x14ac:dyDescent="0.25">
      <c r="A113" s="1">
        <v>0</v>
      </c>
      <c r="B113" s="4">
        <f>AVERAGE(B51:B55)</f>
        <v>8.6087999999999998E-3</v>
      </c>
      <c r="C113" s="4">
        <f>AVERAGE(C51:C55)</f>
        <v>1.217E-2</v>
      </c>
      <c r="D113" s="8">
        <v>0</v>
      </c>
      <c r="E113">
        <v>0</v>
      </c>
      <c r="F113" s="4">
        <f>AVERAGE(E51:E55)</f>
        <v>3.1933599999999999E-2</v>
      </c>
    </row>
    <row r="114" spans="1:6" x14ac:dyDescent="0.25">
      <c r="A114" s="1">
        <v>-0.3</v>
      </c>
      <c r="B114" s="4">
        <f>AVERAGE(B70:B74)</f>
        <v>0.40719079999999996</v>
      </c>
      <c r="C114" s="4">
        <f>AVERAGE(C70:C74)</f>
        <v>0.39574399999999998</v>
      </c>
      <c r="D114" s="8">
        <f>AVERAGE(D70:D74)</f>
        <v>0.25796199999999997</v>
      </c>
      <c r="E114">
        <v>0</v>
      </c>
      <c r="F114" s="4">
        <f>AVERAGE(F70:F74)</f>
        <v>2.6620160000000004E-2</v>
      </c>
    </row>
    <row r="115" spans="1:6" x14ac:dyDescent="0.25">
      <c r="A115" s="1">
        <v>-0.7</v>
      </c>
      <c r="B115" s="4">
        <f>AVERAGE(B89:B93)</f>
        <v>3.948102</v>
      </c>
      <c r="C115" s="4">
        <f>AVERAGE(C89:C93)</f>
        <v>3.9340999999999995</v>
      </c>
      <c r="D115" s="8">
        <f>AVERAGE(D89:D93)</f>
        <v>1.9379632</v>
      </c>
      <c r="E115">
        <v>0</v>
      </c>
      <c r="F115" s="4">
        <f>AVERAGE(F89:F93)</f>
        <v>7.8049400000000005E-2</v>
      </c>
    </row>
  </sheetData>
  <mergeCells count="18">
    <mergeCell ref="A1:G1"/>
    <mergeCell ref="A2:G2"/>
    <mergeCell ref="A10:C10"/>
    <mergeCell ref="A21:G21"/>
    <mergeCell ref="A22:G22"/>
    <mergeCell ref="A30:C30"/>
    <mergeCell ref="A40:G40"/>
    <mergeCell ref="A41:G41"/>
    <mergeCell ref="A49:C49"/>
    <mergeCell ref="A59:G59"/>
    <mergeCell ref="A60:G60"/>
    <mergeCell ref="A68:C68"/>
    <mergeCell ref="A78:G78"/>
    <mergeCell ref="A109:C109"/>
    <mergeCell ref="A79:G79"/>
    <mergeCell ref="A87:C87"/>
    <mergeCell ref="A98:G98"/>
    <mergeCell ref="A99:G9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C9A3-BA22-4FD8-88B0-479AAE3F2C8E}">
  <dimension ref="A1:I66"/>
  <sheetViews>
    <sheetView topLeftCell="A3" zoomScale="70" zoomScaleNormal="70" workbookViewId="0">
      <selection activeCell="H62" sqref="H62"/>
    </sheetView>
  </sheetViews>
  <sheetFormatPr defaultRowHeight="15" x14ac:dyDescent="0.25"/>
  <cols>
    <col min="2" max="3" width="15.85546875" bestFit="1" customWidth="1"/>
    <col min="4" max="4" width="38.28515625" bestFit="1" customWidth="1"/>
    <col min="5" max="5" width="15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15" t="s">
        <v>18</v>
      </c>
      <c r="B1" s="15"/>
      <c r="C1" s="15"/>
      <c r="D1" s="15"/>
      <c r="E1" s="15"/>
      <c r="F1" s="15"/>
      <c r="G1" s="15"/>
    </row>
    <row r="2" spans="1:9" x14ac:dyDescent="0.25">
      <c r="A2" s="17" t="s">
        <v>2</v>
      </c>
      <c r="B2" s="18"/>
      <c r="C2" s="18"/>
      <c r="D2" s="18"/>
      <c r="E2" s="18"/>
      <c r="F2" s="18"/>
      <c r="G2" s="19"/>
    </row>
    <row r="3" spans="1:9" ht="60" x14ac:dyDescent="0.25">
      <c r="A3" s="7"/>
      <c r="B3" s="1" t="s">
        <v>5</v>
      </c>
      <c r="C3" s="6" t="s">
        <v>6</v>
      </c>
      <c r="D3" s="1" t="s">
        <v>7</v>
      </c>
      <c r="E3" s="6" t="s">
        <v>8</v>
      </c>
      <c r="F3" s="1" t="s">
        <v>1</v>
      </c>
      <c r="G3" s="1" t="s">
        <v>0</v>
      </c>
      <c r="H3" s="2" t="s">
        <v>25</v>
      </c>
      <c r="I3" s="11" t="s">
        <v>26</v>
      </c>
    </row>
    <row r="4" spans="1:9" x14ac:dyDescent="0.25">
      <c r="A4" s="1" t="s">
        <v>9</v>
      </c>
      <c r="B4">
        <v>1</v>
      </c>
      <c r="C4">
        <v>1</v>
      </c>
      <c r="D4">
        <v>133</v>
      </c>
      <c r="E4">
        <v>126</v>
      </c>
      <c r="F4">
        <v>1</v>
      </c>
      <c r="G4">
        <v>1</v>
      </c>
      <c r="H4">
        <v>127</v>
      </c>
      <c r="I4">
        <v>51</v>
      </c>
    </row>
    <row r="5" spans="1:9" x14ac:dyDescent="0.25">
      <c r="A5" s="1" t="s">
        <v>10</v>
      </c>
      <c r="B5">
        <v>1</v>
      </c>
      <c r="C5">
        <v>1</v>
      </c>
      <c r="D5">
        <v>124</v>
      </c>
      <c r="E5">
        <v>115</v>
      </c>
      <c r="F5">
        <v>1</v>
      </c>
      <c r="G5">
        <v>1</v>
      </c>
      <c r="H5">
        <v>187</v>
      </c>
      <c r="I5">
        <v>64</v>
      </c>
    </row>
    <row r="6" spans="1:9" x14ac:dyDescent="0.25">
      <c r="A6" s="1" t="s">
        <v>11</v>
      </c>
      <c r="B6">
        <v>1</v>
      </c>
      <c r="C6">
        <v>1</v>
      </c>
      <c r="D6">
        <v>101</v>
      </c>
      <c r="E6">
        <v>72</v>
      </c>
      <c r="F6">
        <v>1</v>
      </c>
      <c r="G6">
        <v>1</v>
      </c>
      <c r="H6">
        <v>440</v>
      </c>
      <c r="I6">
        <v>46</v>
      </c>
    </row>
    <row r="7" spans="1:9" x14ac:dyDescent="0.25">
      <c r="A7" s="1" t="s">
        <v>12</v>
      </c>
      <c r="B7">
        <v>1</v>
      </c>
      <c r="C7">
        <v>1</v>
      </c>
      <c r="D7">
        <v>28</v>
      </c>
      <c r="E7">
        <v>106</v>
      </c>
      <c r="F7">
        <v>1</v>
      </c>
      <c r="G7">
        <v>1</v>
      </c>
      <c r="H7">
        <v>213</v>
      </c>
      <c r="I7">
        <v>102</v>
      </c>
    </row>
    <row r="8" spans="1:9" x14ac:dyDescent="0.25">
      <c r="A8" s="1" t="s">
        <v>13</v>
      </c>
      <c r="B8">
        <v>1</v>
      </c>
      <c r="C8">
        <v>1</v>
      </c>
      <c r="D8">
        <v>74</v>
      </c>
      <c r="E8">
        <v>64</v>
      </c>
      <c r="F8">
        <v>1</v>
      </c>
      <c r="G8">
        <v>1</v>
      </c>
      <c r="H8">
        <v>270</v>
      </c>
      <c r="I8">
        <v>60</v>
      </c>
    </row>
    <row r="13" spans="1:9" x14ac:dyDescent="0.25">
      <c r="A13" s="15" t="s">
        <v>20</v>
      </c>
      <c r="B13" s="15"/>
      <c r="C13" s="15"/>
      <c r="D13" s="15"/>
      <c r="E13" s="15"/>
      <c r="F13" s="15"/>
      <c r="G13" s="15"/>
    </row>
    <row r="14" spans="1:9" x14ac:dyDescent="0.25">
      <c r="A14" s="17" t="s">
        <v>2</v>
      </c>
      <c r="B14" s="18"/>
      <c r="C14" s="18"/>
      <c r="D14" s="18"/>
      <c r="E14" s="18"/>
      <c r="F14" s="18"/>
      <c r="G14" s="19"/>
    </row>
    <row r="15" spans="1:9" ht="60" x14ac:dyDescent="0.25">
      <c r="A15" s="7"/>
      <c r="B15" s="1" t="s">
        <v>5</v>
      </c>
      <c r="C15" s="6" t="s">
        <v>6</v>
      </c>
      <c r="D15" s="1" t="s">
        <v>7</v>
      </c>
      <c r="E15" s="6" t="s">
        <v>8</v>
      </c>
      <c r="F15" s="1" t="s">
        <v>1</v>
      </c>
      <c r="G15" s="1" t="s">
        <v>0</v>
      </c>
      <c r="H15" s="2" t="s">
        <v>25</v>
      </c>
      <c r="I15" s="11" t="s">
        <v>26</v>
      </c>
    </row>
    <row r="16" spans="1:9" x14ac:dyDescent="0.25">
      <c r="A16" s="1" t="s">
        <v>9</v>
      </c>
      <c r="B16">
        <v>499</v>
      </c>
      <c r="C16">
        <v>660</v>
      </c>
      <c r="D16">
        <v>1535</v>
      </c>
      <c r="E16">
        <v>1031</v>
      </c>
      <c r="F16">
        <v>31</v>
      </c>
      <c r="G16">
        <v>42</v>
      </c>
      <c r="H16">
        <v>148</v>
      </c>
      <c r="I16">
        <v>88</v>
      </c>
    </row>
    <row r="17" spans="1:9" x14ac:dyDescent="0.25">
      <c r="A17" s="1" t="s">
        <v>10</v>
      </c>
      <c r="B17">
        <v>668</v>
      </c>
      <c r="C17">
        <v>384</v>
      </c>
      <c r="D17">
        <v>1052</v>
      </c>
      <c r="E17">
        <v>1063</v>
      </c>
      <c r="F17">
        <v>8</v>
      </c>
      <c r="G17">
        <v>26</v>
      </c>
      <c r="H17">
        <v>142</v>
      </c>
      <c r="I17">
        <v>62</v>
      </c>
    </row>
    <row r="18" spans="1:9" x14ac:dyDescent="0.25">
      <c r="A18" s="1" t="s">
        <v>11</v>
      </c>
      <c r="B18">
        <v>260</v>
      </c>
      <c r="C18">
        <v>438</v>
      </c>
      <c r="D18">
        <v>1084</v>
      </c>
      <c r="E18">
        <v>1108</v>
      </c>
      <c r="F18">
        <v>13</v>
      </c>
      <c r="G18">
        <v>34</v>
      </c>
      <c r="H18">
        <v>177</v>
      </c>
      <c r="I18">
        <v>33</v>
      </c>
    </row>
    <row r="19" spans="1:9" x14ac:dyDescent="0.25">
      <c r="A19" s="1" t="s">
        <v>12</v>
      </c>
      <c r="B19">
        <v>273</v>
      </c>
      <c r="C19">
        <v>206</v>
      </c>
      <c r="D19">
        <v>1322</v>
      </c>
      <c r="E19">
        <v>970</v>
      </c>
      <c r="F19">
        <v>7</v>
      </c>
      <c r="G19">
        <v>44</v>
      </c>
      <c r="H19">
        <v>232</v>
      </c>
      <c r="I19">
        <v>10</v>
      </c>
    </row>
    <row r="20" spans="1:9" x14ac:dyDescent="0.25">
      <c r="A20" s="1" t="s">
        <v>13</v>
      </c>
      <c r="B20">
        <v>592</v>
      </c>
      <c r="C20">
        <v>341</v>
      </c>
      <c r="D20">
        <v>1670</v>
      </c>
      <c r="E20">
        <v>1064</v>
      </c>
      <c r="F20">
        <v>10</v>
      </c>
      <c r="G20">
        <v>124</v>
      </c>
      <c r="H20">
        <v>149</v>
      </c>
      <c r="I20">
        <v>25</v>
      </c>
    </row>
    <row r="24" spans="1:9" x14ac:dyDescent="0.25">
      <c r="A24" s="15" t="s">
        <v>21</v>
      </c>
      <c r="B24" s="15"/>
      <c r="C24" s="15"/>
      <c r="D24" s="15"/>
      <c r="E24" s="15"/>
      <c r="F24" s="15"/>
      <c r="G24" s="15"/>
    </row>
    <row r="25" spans="1:9" x14ac:dyDescent="0.25">
      <c r="A25" s="17" t="s">
        <v>2</v>
      </c>
      <c r="B25" s="18"/>
      <c r="C25" s="18"/>
      <c r="D25" s="18"/>
      <c r="E25" s="18"/>
      <c r="F25" s="18"/>
      <c r="G25" s="19"/>
    </row>
    <row r="26" spans="1:9" ht="60" x14ac:dyDescent="0.25">
      <c r="A26" s="7"/>
      <c r="B26" s="1" t="s">
        <v>5</v>
      </c>
      <c r="C26" s="6" t="s">
        <v>6</v>
      </c>
      <c r="D26" s="1" t="s">
        <v>7</v>
      </c>
      <c r="E26" s="6" t="s">
        <v>8</v>
      </c>
      <c r="F26" s="1" t="s">
        <v>1</v>
      </c>
      <c r="G26" s="1" t="s">
        <v>0</v>
      </c>
      <c r="H26" s="2" t="s">
        <v>25</v>
      </c>
      <c r="I26" s="11" t="s">
        <v>26</v>
      </c>
    </row>
    <row r="27" spans="1:9" x14ac:dyDescent="0.25">
      <c r="A27" s="1" t="s">
        <v>9</v>
      </c>
      <c r="B27">
        <v>1</v>
      </c>
      <c r="C27">
        <v>1</v>
      </c>
      <c r="D27">
        <v>129</v>
      </c>
      <c r="E27">
        <v>127</v>
      </c>
      <c r="F27">
        <v>1</v>
      </c>
      <c r="G27">
        <v>1</v>
      </c>
      <c r="H27">
        <v>5</v>
      </c>
      <c r="I27">
        <v>4</v>
      </c>
    </row>
    <row r="28" spans="1:9" x14ac:dyDescent="0.25">
      <c r="A28" s="1" t="s">
        <v>10</v>
      </c>
      <c r="B28">
        <v>1</v>
      </c>
      <c r="C28">
        <v>1</v>
      </c>
      <c r="D28">
        <v>147</v>
      </c>
      <c r="E28">
        <v>86</v>
      </c>
      <c r="F28">
        <v>1</v>
      </c>
      <c r="G28">
        <v>1</v>
      </c>
      <c r="H28">
        <v>4</v>
      </c>
      <c r="I28">
        <v>4</v>
      </c>
    </row>
    <row r="29" spans="1:9" x14ac:dyDescent="0.25">
      <c r="A29" s="1" t="s">
        <v>11</v>
      </c>
      <c r="B29">
        <v>1</v>
      </c>
      <c r="C29">
        <v>1</v>
      </c>
      <c r="D29">
        <v>136</v>
      </c>
      <c r="E29">
        <v>113</v>
      </c>
      <c r="F29">
        <v>1</v>
      </c>
      <c r="G29">
        <v>1</v>
      </c>
      <c r="H29">
        <v>4</v>
      </c>
      <c r="I29">
        <v>4</v>
      </c>
    </row>
    <row r="30" spans="1:9" x14ac:dyDescent="0.25">
      <c r="A30" s="1" t="s">
        <v>12</v>
      </c>
      <c r="B30">
        <v>1</v>
      </c>
      <c r="C30">
        <v>1</v>
      </c>
      <c r="D30">
        <v>77</v>
      </c>
      <c r="E30">
        <v>80</v>
      </c>
      <c r="F30">
        <v>1</v>
      </c>
      <c r="G30">
        <v>1</v>
      </c>
      <c r="H30">
        <v>4</v>
      </c>
      <c r="I30">
        <v>4</v>
      </c>
    </row>
    <row r="31" spans="1:9" x14ac:dyDescent="0.25">
      <c r="A31" s="1" t="s">
        <v>13</v>
      </c>
      <c r="B31">
        <v>1</v>
      </c>
      <c r="C31">
        <v>1</v>
      </c>
      <c r="D31">
        <v>109</v>
      </c>
      <c r="E31">
        <v>143</v>
      </c>
      <c r="F31">
        <v>1</v>
      </c>
      <c r="G31">
        <v>1</v>
      </c>
      <c r="H31">
        <v>6</v>
      </c>
      <c r="I31">
        <v>4</v>
      </c>
    </row>
    <row r="36" spans="1:9" x14ac:dyDescent="0.25">
      <c r="A36" s="15" t="s">
        <v>22</v>
      </c>
      <c r="B36" s="15"/>
      <c r="C36" s="15"/>
      <c r="D36" s="15"/>
      <c r="E36" s="15"/>
      <c r="F36" s="15"/>
      <c r="G36" s="15"/>
    </row>
    <row r="37" spans="1:9" x14ac:dyDescent="0.25">
      <c r="A37" s="17" t="s">
        <v>2</v>
      </c>
      <c r="B37" s="18"/>
      <c r="C37" s="18"/>
      <c r="D37" s="18"/>
      <c r="E37" s="18"/>
      <c r="F37" s="18"/>
      <c r="G37" s="19"/>
    </row>
    <row r="38" spans="1:9" ht="60" x14ac:dyDescent="0.25">
      <c r="A38" s="7"/>
      <c r="B38" s="1" t="s">
        <v>5</v>
      </c>
      <c r="C38" s="6" t="s">
        <v>6</v>
      </c>
      <c r="D38" s="1" t="s">
        <v>7</v>
      </c>
      <c r="E38" s="6" t="s">
        <v>8</v>
      </c>
      <c r="F38" s="1" t="s">
        <v>1</v>
      </c>
      <c r="G38" s="1" t="s">
        <v>0</v>
      </c>
      <c r="H38" s="2" t="s">
        <v>25</v>
      </c>
      <c r="I38" s="11" t="s">
        <v>26</v>
      </c>
    </row>
    <row r="39" spans="1:9" x14ac:dyDescent="0.25">
      <c r="A39" s="1" t="s">
        <v>9</v>
      </c>
      <c r="B39">
        <v>1</v>
      </c>
      <c r="C39">
        <v>1</v>
      </c>
      <c r="D39">
        <v>206</v>
      </c>
      <c r="E39">
        <v>64</v>
      </c>
      <c r="F39">
        <v>1</v>
      </c>
      <c r="G39">
        <v>1</v>
      </c>
      <c r="H39">
        <v>141</v>
      </c>
      <c r="I39">
        <v>86</v>
      </c>
    </row>
    <row r="40" spans="1:9" x14ac:dyDescent="0.25">
      <c r="A40" s="1" t="s">
        <v>10</v>
      </c>
      <c r="B40">
        <v>1</v>
      </c>
      <c r="C40">
        <v>1</v>
      </c>
      <c r="D40">
        <v>320</v>
      </c>
      <c r="E40">
        <v>99</v>
      </c>
      <c r="F40">
        <v>1</v>
      </c>
      <c r="G40">
        <v>1</v>
      </c>
      <c r="H40">
        <v>133</v>
      </c>
      <c r="I40">
        <v>115</v>
      </c>
    </row>
    <row r="41" spans="1:9" x14ac:dyDescent="0.25">
      <c r="A41" s="1" t="s">
        <v>11</v>
      </c>
      <c r="B41">
        <v>1</v>
      </c>
      <c r="C41">
        <v>1</v>
      </c>
      <c r="D41">
        <v>530</v>
      </c>
      <c r="E41">
        <v>140</v>
      </c>
      <c r="F41">
        <v>1</v>
      </c>
      <c r="G41">
        <v>1</v>
      </c>
      <c r="H41">
        <v>172</v>
      </c>
      <c r="I41">
        <v>33</v>
      </c>
    </row>
    <row r="42" spans="1:9" x14ac:dyDescent="0.25">
      <c r="A42" s="1" t="s">
        <v>12</v>
      </c>
      <c r="B42">
        <v>1</v>
      </c>
      <c r="C42">
        <v>1</v>
      </c>
      <c r="D42">
        <v>326</v>
      </c>
      <c r="E42">
        <v>99</v>
      </c>
      <c r="F42">
        <v>1</v>
      </c>
      <c r="G42">
        <v>1</v>
      </c>
      <c r="H42">
        <v>131</v>
      </c>
      <c r="I42">
        <v>90</v>
      </c>
    </row>
    <row r="43" spans="1:9" x14ac:dyDescent="0.25">
      <c r="A43" s="1" t="s">
        <v>13</v>
      </c>
      <c r="B43">
        <v>1</v>
      </c>
      <c r="C43">
        <v>1</v>
      </c>
      <c r="D43">
        <v>596</v>
      </c>
      <c r="E43">
        <v>115</v>
      </c>
      <c r="F43">
        <v>1</v>
      </c>
      <c r="G43">
        <v>1</v>
      </c>
      <c r="H43">
        <v>212</v>
      </c>
      <c r="I43">
        <v>109</v>
      </c>
    </row>
    <row r="48" spans="1:9" x14ac:dyDescent="0.25">
      <c r="A48" s="15" t="s">
        <v>23</v>
      </c>
      <c r="B48" s="15"/>
      <c r="C48" s="15"/>
      <c r="D48" s="15"/>
      <c r="E48" s="15"/>
      <c r="F48" s="15"/>
      <c r="G48" s="15"/>
    </row>
    <row r="49" spans="1:9" x14ac:dyDescent="0.25">
      <c r="A49" s="17" t="s">
        <v>2</v>
      </c>
      <c r="B49" s="18"/>
      <c r="C49" s="18"/>
      <c r="D49" s="18"/>
      <c r="E49" s="18"/>
      <c r="F49" s="18"/>
      <c r="G49" s="19"/>
    </row>
    <row r="50" spans="1:9" ht="60" x14ac:dyDescent="0.25">
      <c r="A50" s="7"/>
      <c r="B50" s="1" t="s">
        <v>5</v>
      </c>
      <c r="C50" s="6" t="s">
        <v>6</v>
      </c>
      <c r="D50" s="1" t="s">
        <v>7</v>
      </c>
      <c r="E50" s="6" t="s">
        <v>8</v>
      </c>
      <c r="F50" s="1" t="s">
        <v>1</v>
      </c>
      <c r="G50" s="1" t="s">
        <v>0</v>
      </c>
      <c r="H50" s="2" t="s">
        <v>25</v>
      </c>
      <c r="I50" s="11" t="s">
        <v>26</v>
      </c>
    </row>
    <row r="51" spans="1:9" x14ac:dyDescent="0.25">
      <c r="A51" s="1" t="s">
        <v>9</v>
      </c>
      <c r="B51">
        <v>1</v>
      </c>
      <c r="C51">
        <v>1</v>
      </c>
      <c r="D51">
        <v>184</v>
      </c>
      <c r="E51">
        <v>69</v>
      </c>
      <c r="F51">
        <v>1</v>
      </c>
      <c r="G51">
        <v>1</v>
      </c>
      <c r="H51">
        <v>60</v>
      </c>
      <c r="I51">
        <v>54</v>
      </c>
    </row>
    <row r="52" spans="1:9" x14ac:dyDescent="0.25">
      <c r="A52" s="1" t="s">
        <v>10</v>
      </c>
      <c r="B52">
        <v>1</v>
      </c>
      <c r="C52">
        <v>1</v>
      </c>
      <c r="D52">
        <v>335</v>
      </c>
      <c r="E52">
        <v>63</v>
      </c>
      <c r="F52">
        <v>1</v>
      </c>
      <c r="G52">
        <v>1</v>
      </c>
      <c r="H52">
        <v>170</v>
      </c>
      <c r="I52">
        <v>11</v>
      </c>
    </row>
    <row r="53" spans="1:9" x14ac:dyDescent="0.25">
      <c r="A53" s="1" t="s">
        <v>11</v>
      </c>
      <c r="B53">
        <v>1</v>
      </c>
      <c r="C53">
        <v>1</v>
      </c>
      <c r="D53">
        <v>423</v>
      </c>
      <c r="E53">
        <v>32</v>
      </c>
      <c r="F53">
        <v>1</v>
      </c>
      <c r="G53">
        <v>1</v>
      </c>
      <c r="H53">
        <v>148</v>
      </c>
      <c r="I53">
        <v>18</v>
      </c>
    </row>
    <row r="54" spans="1:9" x14ac:dyDescent="0.25">
      <c r="A54" s="1" t="s">
        <v>12</v>
      </c>
      <c r="B54">
        <v>1</v>
      </c>
      <c r="C54">
        <v>1</v>
      </c>
      <c r="D54">
        <v>432</v>
      </c>
      <c r="E54">
        <v>66</v>
      </c>
      <c r="F54">
        <v>1</v>
      </c>
      <c r="G54">
        <v>1</v>
      </c>
      <c r="H54">
        <v>249</v>
      </c>
      <c r="I54">
        <v>74</v>
      </c>
    </row>
    <row r="55" spans="1:9" x14ac:dyDescent="0.25">
      <c r="A55" s="1" t="s">
        <v>13</v>
      </c>
      <c r="B55">
        <v>1</v>
      </c>
      <c r="C55">
        <v>1</v>
      </c>
      <c r="D55">
        <v>342</v>
      </c>
      <c r="E55">
        <v>87</v>
      </c>
      <c r="F55">
        <v>1</v>
      </c>
      <c r="G55">
        <v>1</v>
      </c>
      <c r="H55">
        <v>60</v>
      </c>
      <c r="I55">
        <v>60</v>
      </c>
    </row>
    <row r="59" spans="1:9" x14ac:dyDescent="0.25">
      <c r="A59" s="16" t="s">
        <v>17</v>
      </c>
      <c r="B59" s="16"/>
      <c r="C59" s="16"/>
      <c r="D59" s="16"/>
      <c r="E59" s="16"/>
      <c r="F59" s="16"/>
      <c r="G59" s="16"/>
    </row>
    <row r="60" spans="1:9" x14ac:dyDescent="0.25">
      <c r="A60" s="17" t="s">
        <v>2</v>
      </c>
      <c r="B60" s="18"/>
      <c r="C60" s="18"/>
      <c r="D60" s="18"/>
      <c r="E60" s="18"/>
      <c r="F60" s="18"/>
      <c r="G60" s="19"/>
    </row>
    <row r="61" spans="1:9" ht="60" x14ac:dyDescent="0.25">
      <c r="A61" s="9"/>
      <c r="B61" s="1" t="s">
        <v>5</v>
      </c>
      <c r="C61" s="6" t="s">
        <v>6</v>
      </c>
      <c r="D61" s="1" t="s">
        <v>7</v>
      </c>
      <c r="E61" s="6" t="s">
        <v>8</v>
      </c>
      <c r="F61" s="1" t="s">
        <v>1</v>
      </c>
      <c r="G61" s="1" t="s">
        <v>0</v>
      </c>
      <c r="H61" s="2" t="s">
        <v>33</v>
      </c>
      <c r="I61" s="11" t="s">
        <v>32</v>
      </c>
    </row>
    <row r="62" spans="1:9" x14ac:dyDescent="0.25">
      <c r="A62" s="2">
        <v>0.7</v>
      </c>
      <c r="B62">
        <f t="shared" ref="B62:G62" si="0">AVERAGE(B4:B8)</f>
        <v>1</v>
      </c>
      <c r="C62">
        <f t="shared" si="0"/>
        <v>1</v>
      </c>
      <c r="D62">
        <f t="shared" si="0"/>
        <v>92</v>
      </c>
      <c r="E62">
        <f t="shared" si="0"/>
        <v>96.6</v>
      </c>
      <c r="F62">
        <f t="shared" si="0"/>
        <v>1</v>
      </c>
      <c r="G62">
        <f t="shared" si="0"/>
        <v>1</v>
      </c>
      <c r="H62">
        <f>AVERAGE(H4:H8)</f>
        <v>247.4</v>
      </c>
      <c r="I62">
        <f>AVERAGE(I4:I8)</f>
        <v>64.599999999999994</v>
      </c>
    </row>
    <row r="63" spans="1:9" x14ac:dyDescent="0.25">
      <c r="A63" s="3">
        <v>0.3</v>
      </c>
      <c r="B63">
        <f t="shared" ref="B63:G63" si="1">AVERAGE(B16:B20)</f>
        <v>458.4</v>
      </c>
      <c r="C63">
        <f t="shared" si="1"/>
        <v>405.8</v>
      </c>
      <c r="D63">
        <f t="shared" si="1"/>
        <v>1332.6</v>
      </c>
      <c r="E63">
        <f t="shared" si="1"/>
        <v>1047.2</v>
      </c>
      <c r="F63">
        <f t="shared" si="1"/>
        <v>13.8</v>
      </c>
      <c r="G63">
        <f t="shared" si="1"/>
        <v>54</v>
      </c>
      <c r="H63">
        <f>AVERAGE(H16:H20)</f>
        <v>169.6</v>
      </c>
      <c r="I63">
        <f>AVERAGE(I16:I20)</f>
        <v>43.6</v>
      </c>
    </row>
    <row r="64" spans="1:9" x14ac:dyDescent="0.25">
      <c r="A64" s="3">
        <v>0</v>
      </c>
      <c r="B64">
        <f t="shared" ref="B64:G64" si="2">AVERAGE(B27:B31)</f>
        <v>1</v>
      </c>
      <c r="C64">
        <f t="shared" si="2"/>
        <v>1</v>
      </c>
      <c r="D64">
        <f t="shared" si="2"/>
        <v>119.6</v>
      </c>
      <c r="E64">
        <f t="shared" si="2"/>
        <v>109.8</v>
      </c>
      <c r="F64">
        <f t="shared" si="2"/>
        <v>1</v>
      </c>
      <c r="G64">
        <f t="shared" si="2"/>
        <v>1</v>
      </c>
      <c r="H64">
        <f>AVERAGE(H27:H31)</f>
        <v>4.5999999999999996</v>
      </c>
      <c r="I64">
        <f>AVERAGE(I27:I31)</f>
        <v>4</v>
      </c>
    </row>
    <row r="65" spans="1:9" x14ac:dyDescent="0.25">
      <c r="A65" s="3">
        <v>-0.3</v>
      </c>
      <c r="B65">
        <f t="shared" ref="B65:G65" si="3">AVERAGE(B39:B43)</f>
        <v>1</v>
      </c>
      <c r="C65">
        <f t="shared" si="3"/>
        <v>1</v>
      </c>
      <c r="D65">
        <f t="shared" si="3"/>
        <v>395.6</v>
      </c>
      <c r="E65">
        <f t="shared" si="3"/>
        <v>103.4</v>
      </c>
      <c r="F65">
        <f t="shared" si="3"/>
        <v>1</v>
      </c>
      <c r="G65">
        <f t="shared" si="3"/>
        <v>1</v>
      </c>
      <c r="H65">
        <f>AVERAGE(H39:H43)</f>
        <v>157.80000000000001</v>
      </c>
      <c r="I65">
        <f>AVERAGE(I39:I43)</f>
        <v>86.6</v>
      </c>
    </row>
    <row r="66" spans="1:9" x14ac:dyDescent="0.25">
      <c r="A66" s="3">
        <v>-0.7</v>
      </c>
      <c r="B66">
        <f t="shared" ref="B66:G66" si="4">AVERAGE(B51:B55)</f>
        <v>1</v>
      </c>
      <c r="C66">
        <f t="shared" si="4"/>
        <v>1</v>
      </c>
      <c r="D66">
        <f t="shared" si="4"/>
        <v>343.2</v>
      </c>
      <c r="E66">
        <f t="shared" si="4"/>
        <v>63.4</v>
      </c>
      <c r="F66">
        <f t="shared" si="4"/>
        <v>1</v>
      </c>
      <c r="G66">
        <f t="shared" si="4"/>
        <v>1</v>
      </c>
      <c r="H66">
        <f>AVERAGE(H51:H55)</f>
        <v>137.4</v>
      </c>
      <c r="I66">
        <f>AVERAGE(I51:I55)</f>
        <v>43.4</v>
      </c>
    </row>
  </sheetData>
  <mergeCells count="12">
    <mergeCell ref="A1:G1"/>
    <mergeCell ref="A2:G2"/>
    <mergeCell ref="A13:G13"/>
    <mergeCell ref="A14:G14"/>
    <mergeCell ref="A24:G24"/>
    <mergeCell ref="A25:G25"/>
    <mergeCell ref="A60:G60"/>
    <mergeCell ref="A36:G36"/>
    <mergeCell ref="A37:G37"/>
    <mergeCell ref="A48:G48"/>
    <mergeCell ref="A49:G49"/>
    <mergeCell ref="A59:G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2024-07-31T23:34:45Z</dcterms:created>
  <dcterms:modified xsi:type="dcterms:W3CDTF">2025-01-29T16:35:33Z</dcterms:modified>
</cp:coreProperties>
</file>
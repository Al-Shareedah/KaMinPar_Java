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KaMinPar_Java\Experiments data\Cardinality Skewness\"/>
    </mc:Choice>
  </mc:AlternateContent>
  <xr:revisionPtr revIDLastSave="0" documentId="13_ncr:1_{F360C7B7-45A6-4E04-B970-5BAC1CAC127D}" xr6:coauthVersionLast="47" xr6:coauthVersionMax="47" xr10:uidLastSave="{00000000-0000-0000-0000-000000000000}"/>
  <bookViews>
    <workbookView xWindow="28680" yWindow="-210" windowWidth="29040" windowHeight="15720" xr2:uid="{00000000-000D-0000-FFFF-FFFF00000000}"/>
  </bookViews>
  <sheets>
    <sheet name="Edge Cuts" sheetId="1" r:id="rId1"/>
    <sheet name="Runtimes" sheetId="3" r:id="rId2"/>
    <sheet name="CCM" sheetId="5" r:id="rId3"/>
    <sheet name="Contiguit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3" l="1"/>
  <c r="N76" i="1" l="1"/>
  <c r="L75" i="1"/>
  <c r="L76" i="1"/>
  <c r="L77" i="1"/>
  <c r="L78" i="1"/>
  <c r="L74" i="1"/>
  <c r="K75" i="1"/>
  <c r="K76" i="1"/>
  <c r="K77" i="1"/>
  <c r="K78" i="1"/>
  <c r="K74" i="1"/>
  <c r="I66" i="7"/>
  <c r="I65" i="7"/>
  <c r="I64" i="7"/>
  <c r="I63" i="7"/>
  <c r="I62" i="7"/>
  <c r="H66" i="7"/>
  <c r="H65" i="7"/>
  <c r="H64" i="7"/>
  <c r="H63" i="7"/>
  <c r="H62" i="7"/>
  <c r="E115" i="5"/>
  <c r="E114" i="5"/>
  <c r="E113" i="5"/>
  <c r="E112" i="5"/>
  <c r="E111" i="5"/>
  <c r="D115" i="5"/>
  <c r="F105" i="5"/>
  <c r="F104" i="5"/>
  <c r="F103" i="5"/>
  <c r="F102" i="5"/>
  <c r="F101" i="5"/>
  <c r="E102" i="5"/>
  <c r="E103" i="5"/>
  <c r="E104" i="5"/>
  <c r="E105" i="5"/>
  <c r="E101" i="5"/>
  <c r="I66" i="3"/>
  <c r="I65" i="3"/>
  <c r="I64" i="3"/>
  <c r="I63" i="3"/>
  <c r="I62" i="3"/>
  <c r="H66" i="3"/>
  <c r="H64" i="3"/>
  <c r="H63" i="3"/>
  <c r="H62" i="3"/>
  <c r="I72" i="1"/>
  <c r="N78" i="1" s="1"/>
  <c r="I71" i="1"/>
  <c r="N77" i="1" s="1"/>
  <c r="I70" i="1"/>
  <c r="I69" i="1"/>
  <c r="N75" i="1" s="1"/>
  <c r="I68" i="1"/>
  <c r="N74" i="1" s="1"/>
  <c r="H72" i="1"/>
  <c r="M78" i="1" s="1"/>
  <c r="H71" i="1"/>
  <c r="M77" i="1" s="1"/>
  <c r="H70" i="1"/>
  <c r="M76" i="1" s="1"/>
  <c r="H69" i="1"/>
  <c r="M75" i="1" s="1"/>
  <c r="H68" i="1"/>
  <c r="M74" i="1" s="1"/>
  <c r="B62" i="7"/>
  <c r="G66" i="7"/>
  <c r="G65" i="7"/>
  <c r="G64" i="7"/>
  <c r="G63" i="7"/>
  <c r="G62" i="7"/>
  <c r="F66" i="7"/>
  <c r="F65" i="7"/>
  <c r="F64" i="7"/>
  <c r="F63" i="7"/>
  <c r="F62" i="7"/>
  <c r="E66" i="7"/>
  <c r="E65" i="7"/>
  <c r="E64" i="7"/>
  <c r="E63" i="7"/>
  <c r="E62" i="7"/>
  <c r="D66" i="7"/>
  <c r="D65" i="7"/>
  <c r="D64" i="7"/>
  <c r="D63" i="7"/>
  <c r="D62" i="7"/>
  <c r="C66" i="7"/>
  <c r="C65" i="7"/>
  <c r="C64" i="7"/>
  <c r="C63" i="7"/>
  <c r="C62" i="7"/>
  <c r="B66" i="7"/>
  <c r="B65" i="7"/>
  <c r="B64" i="7"/>
  <c r="B63" i="7"/>
  <c r="B111" i="5"/>
  <c r="C111" i="5"/>
  <c r="B112" i="5"/>
  <c r="C112" i="5"/>
  <c r="B113" i="5"/>
  <c r="C113" i="5"/>
  <c r="B114" i="5"/>
  <c r="C114" i="5"/>
  <c r="B115" i="5"/>
  <c r="C115" i="5"/>
  <c r="D114" i="5"/>
  <c r="B104" i="5"/>
  <c r="B105" i="5"/>
  <c r="C105" i="5"/>
  <c r="D105" i="5"/>
  <c r="D104" i="5"/>
  <c r="D103" i="5"/>
  <c r="D102" i="5"/>
  <c r="D101" i="5"/>
  <c r="C101" i="5"/>
  <c r="C102" i="5"/>
  <c r="C103" i="5"/>
  <c r="C104" i="5"/>
  <c r="B103" i="5"/>
  <c r="B102" i="5"/>
  <c r="B101" i="5"/>
  <c r="G66" i="3"/>
  <c r="G63" i="3"/>
  <c r="G62" i="3"/>
  <c r="F66" i="3"/>
  <c r="F63" i="3"/>
  <c r="F62" i="3"/>
  <c r="E66" i="3"/>
  <c r="E63" i="3"/>
  <c r="E62" i="3"/>
  <c r="D66" i="3"/>
  <c r="D63" i="3"/>
  <c r="D62" i="3"/>
  <c r="C66" i="3"/>
  <c r="C63" i="3"/>
  <c r="C62" i="3"/>
  <c r="B66" i="3"/>
  <c r="B65" i="3"/>
  <c r="B63" i="3"/>
  <c r="B62" i="3"/>
  <c r="G65" i="3"/>
  <c r="F65" i="3"/>
  <c r="E65" i="3"/>
  <c r="D65" i="3"/>
  <c r="C65" i="3"/>
  <c r="G64" i="3"/>
  <c r="F64" i="3"/>
  <c r="E64" i="3"/>
  <c r="D64" i="3"/>
  <c r="C64" i="3"/>
  <c r="B64" i="3"/>
  <c r="G72" i="1"/>
  <c r="G71" i="1"/>
  <c r="G70" i="1"/>
  <c r="G69" i="1"/>
  <c r="G68" i="1"/>
  <c r="F72" i="1"/>
  <c r="F71" i="1"/>
  <c r="F70" i="1"/>
  <c r="F69" i="1"/>
  <c r="F68" i="1"/>
  <c r="E72" i="1"/>
  <c r="E71" i="1"/>
  <c r="E70" i="1"/>
  <c r="E69" i="1"/>
  <c r="E68" i="1"/>
  <c r="D72" i="1"/>
  <c r="D71" i="1"/>
  <c r="D70" i="1"/>
  <c r="D69" i="1"/>
  <c r="D68" i="1"/>
  <c r="C72" i="1"/>
  <c r="C71" i="1"/>
  <c r="C70" i="1"/>
  <c r="C69" i="1"/>
  <c r="C68" i="1"/>
  <c r="B72" i="1"/>
  <c r="B71" i="1"/>
  <c r="B70" i="1"/>
  <c r="B69" i="1"/>
  <c r="B68" i="1"/>
</calcChain>
</file>

<file path=xl/sharedStrings.xml><?xml version="1.0" encoding="utf-8"?>
<sst xmlns="http://schemas.openxmlformats.org/spreadsheetml/2006/main" count="406" uniqueCount="40">
  <si>
    <t>KaHIP</t>
  </si>
  <si>
    <t>KaMinPar</t>
  </si>
  <si>
    <t>Average Connected Components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</si>
  <si>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</si>
  <si>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</si>
  <si>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</si>
  <si>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</si>
  <si>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</si>
  <si>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</si>
  <si>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</si>
  <si>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</si>
  <si>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</si>
  <si>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</si>
  <si>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</si>
  <si>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K = 4, Graph = Email, Contraction = 70%, f = [-0.3]</t>
  </si>
  <si>
    <t>Runtimes</t>
  </si>
  <si>
    <t>CCM</t>
  </si>
  <si>
    <t>Average percentage by which partitions missed the desired size</t>
  </si>
  <si>
    <t>K = 4, Graph = PGP, Contraction = 70%, f = [0.7]</t>
  </si>
  <si>
    <t>K = 4, Graph = PGP, Contraction = 70%, f = [0.3]</t>
  </si>
  <si>
    <t>K = 4, Graph = PGP, Contraction = 70%, f = [0.0]</t>
  </si>
  <si>
    <t>K = 4, Graph = PGP, Contraction = 70%, f = [-0.3]</t>
  </si>
  <si>
    <t>K = 4, Graph = PGP, Contraction = 70%, f = [-0.7]</t>
  </si>
  <si>
    <t>Average Results</t>
  </si>
  <si>
    <t>Run Time</t>
  </si>
  <si>
    <t xml:space="preserve">Mean Deviation Percentage from Desired Partition Size </t>
  </si>
  <si>
    <t>Deep Multilevel, ε= 0.0</t>
  </si>
  <si>
    <t>Deep Multilevel, ε = 0.05</t>
  </si>
  <si>
    <t>[1017,1728,2937,4998]</t>
  </si>
  <si>
    <t>Partition Sizes = 1726, 2244, 2917, 3793</t>
  </si>
  <si>
    <t>Partition Sizes = [2670, 2670, 2670, 2670]</t>
  </si>
  <si>
    <t>Partition Sizes = [4216, 2951, 2066, 1447]</t>
  </si>
  <si>
    <t>Deep Multilevel, ε = 5</t>
  </si>
  <si>
    <t>Deep Multilevel, ε= 0</t>
  </si>
  <si>
    <t>Deep Multilevel, ε = 534</t>
  </si>
  <si>
    <t>Partition Sizes = [7539, 2260, 678, 203]</t>
  </si>
  <si>
    <t>Deep Multilevel, ε = 100</t>
  </si>
  <si>
    <t>Deep NUGP, ε= 0</t>
  </si>
  <si>
    <t>Deep NUGP, ε relaxed</t>
  </si>
  <si>
    <t>Deep Multilevel, ε 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</si>
</sst>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10" fontId="0" fillId="0" borderId="0" xfId="0" applyNumberFormat="1" applyAlignment="1">
      <alignment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top"/>
    </xf>
    <xf numFmtId="49" fontId="0" fillId="0" borderId="0" xfId="0" applyNumberFormat="1"/>
    <xf numFmtId="9" fontId="0" fillId="0" borderId="0" xfId="1" applyFont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Cuts'!$F$67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Cuts'!$F$68:$F$72</c:f>
              <c:numCache>
                <c:formatCode>General</c:formatCode>
                <c:ptCount val="5"/>
                <c:pt idx="0">
                  <c:v>753</c:v>
                </c:pt>
                <c:pt idx="1">
                  <c:v>745</c:v>
                </c:pt>
                <c:pt idx="2">
                  <c:v>756</c:v>
                </c:pt>
                <c:pt idx="3">
                  <c:v>743.4</c:v>
                </c:pt>
                <c:pt idx="4">
                  <c:v>743.6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D8-4D03-AE9E-ED7029CA9365}"/>
            </c:ext>
          </c:extLst>
        </c:ser>
        <c:ser>
          <c:idx val="5"/>
          <c:order val="5"/>
          <c:tx>
            <c:strRef>
              <c:f>'Edge Cuts'!$G$67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Cuts'!$G$68:$G$72</c:f>
              <c:numCache>
                <c:formatCode>General</c:formatCode>
                <c:ptCount val="5"/>
                <c:pt idx="0">
                  <c:v>917.2</c:v>
                </c:pt>
                <c:pt idx="1">
                  <c:v>1037</c:v>
                </c:pt>
                <c:pt idx="2">
                  <c:v>933.8</c:v>
                </c:pt>
                <c:pt idx="3">
                  <c:v>962.8</c:v>
                </c:pt>
                <c:pt idx="4">
                  <c:v>940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D8-4D03-AE9E-ED7029CA9365}"/>
            </c:ext>
          </c:extLst>
        </c:ser>
        <c:ser>
          <c:idx val="6"/>
          <c:order val="6"/>
          <c:tx>
            <c:strRef>
              <c:f>'Edge Cuts'!$H$67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Cuts'!$H$68:$H$72</c:f>
              <c:numCache>
                <c:formatCode>General</c:formatCode>
                <c:ptCount val="5"/>
                <c:pt idx="0">
                  <c:v>765.2</c:v>
                </c:pt>
                <c:pt idx="1">
                  <c:v>825.4</c:v>
                </c:pt>
                <c:pt idx="2">
                  <c:v>859.2</c:v>
                </c:pt>
                <c:pt idx="3">
                  <c:v>916</c:v>
                </c:pt>
                <c:pt idx="4">
                  <c:v>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0A-4B99-8768-871CCF86B914}"/>
            </c:ext>
          </c:extLst>
        </c:ser>
        <c:ser>
          <c:idx val="7"/>
          <c:order val="7"/>
          <c:tx>
            <c:strRef>
              <c:f>'Edge Cuts'!$I$67</c:f>
              <c:strCache>
                <c:ptCount val="1"/>
                <c:pt idx="0">
                  <c:v>Deep Multilevel, ε = 534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Cuts'!$I$68:$I$72</c:f>
              <c:numCache>
                <c:formatCode>General</c:formatCode>
                <c:ptCount val="5"/>
                <c:pt idx="0">
                  <c:v>507.4</c:v>
                </c:pt>
                <c:pt idx="1">
                  <c:v>759.4</c:v>
                </c:pt>
                <c:pt idx="2">
                  <c:v>746</c:v>
                </c:pt>
                <c:pt idx="3">
                  <c:v>671.2</c:v>
                </c:pt>
                <c:pt idx="4">
                  <c:v>599.6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0A-4B99-8768-871CCF86B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53071"/>
        <c:axId val="47635451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Cuts'!$B$67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Cuts'!$B$68:$B$72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3338</c:v>
                      </c:pt>
                      <c:pt idx="1">
                        <c:v>3488.4</c:v>
                      </c:pt>
                      <c:pt idx="2">
                        <c:v>3292.4</c:v>
                      </c:pt>
                      <c:pt idx="3">
                        <c:v>3480.8</c:v>
                      </c:pt>
                      <c:pt idx="4">
                        <c:v>3043.6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3D8-4D03-AE9E-ED7029CA936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Cuts'!$C$67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Cuts'!$C$68:$C$72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3596.2</c:v>
                      </c:pt>
                      <c:pt idx="1">
                        <c:v>3506</c:v>
                      </c:pt>
                      <c:pt idx="2">
                        <c:v>3047.4</c:v>
                      </c:pt>
                      <c:pt idx="3">
                        <c:v>3331.6</c:v>
                      </c:pt>
                      <c:pt idx="4">
                        <c:v>3007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3D8-4D03-AE9E-ED7029CA936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Cuts'!$D$67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Cuts'!$D$68:$D$72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4874.2</c:v>
                      </c:pt>
                      <c:pt idx="1">
                        <c:v>5333</c:v>
                      </c:pt>
                      <c:pt idx="2">
                        <c:v>7091.8</c:v>
                      </c:pt>
                      <c:pt idx="3">
                        <c:v>5130.6000000000004</c:v>
                      </c:pt>
                      <c:pt idx="4">
                        <c:v>7588.4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D8-4D03-AE9E-ED7029CA936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Cuts'!$E$67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Cuts'!$E$68:$E$72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4917.2</c:v>
                      </c:pt>
                      <c:pt idx="1">
                        <c:v>4537.8</c:v>
                      </c:pt>
                      <c:pt idx="2">
                        <c:v>4673.3999999999996</c:v>
                      </c:pt>
                      <c:pt idx="3">
                        <c:v>4836.3999999999996</c:v>
                      </c:pt>
                      <c:pt idx="4">
                        <c:v>4473.3999999999996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3D8-4D03-AE9E-ED7029CA9365}"/>
                  </c:ext>
                </c:extLst>
              </c15:ser>
            </c15:filteredScatterSeries>
          </c:ext>
        </c:extLst>
      </c:scatterChart>
      <c:valAx>
        <c:axId val="47635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4511"/>
        <c:crosses val="autoZero"/>
        <c:crossBetween val="midCat"/>
      </c:valAx>
      <c:valAx>
        <c:axId val="4763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with Different Partition Skenewss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Cuts'!$K$73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Cuts'!$J$74:$J$78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Cuts'!$K$74:$K$78</c:f>
              <c:numCache>
                <c:formatCode>0%</c:formatCode>
                <c:ptCount val="5"/>
                <c:pt idx="0">
                  <c:v>0.17902311382468386</c:v>
                </c:pt>
                <c:pt idx="1">
                  <c:v>0.28158148505303759</c:v>
                </c:pt>
                <c:pt idx="2">
                  <c:v>0.19040479760119935</c:v>
                </c:pt>
                <c:pt idx="3">
                  <c:v>0.22787702534275031</c:v>
                </c:pt>
                <c:pt idx="4">
                  <c:v>0.20893617021276592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8C-4CE1-9614-1D6371971533}"/>
            </c:ext>
          </c:extLst>
        </c:ser>
        <c:ser>
          <c:idx val="1"/>
          <c:order val="1"/>
          <c:tx>
            <c:strRef>
              <c:f>'Edge Cuts'!$L$73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Cuts'!$J$74:$J$78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Cuts'!$L$74:$L$78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8C-4CE1-9614-1D6371971533}"/>
            </c:ext>
          </c:extLst>
        </c:ser>
        <c:ser>
          <c:idx val="2"/>
          <c:order val="2"/>
          <c:tx>
            <c:strRef>
              <c:f>'Edge Cuts'!$M$73</c:f>
              <c:strCache>
                <c:ptCount val="1"/>
                <c:pt idx="0">
                  <c:v>Deep NUGP,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Cuts'!$J$74:$J$78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Cuts'!$M$74:$M$78</c:f>
              <c:numCache>
                <c:formatCode>0%</c:formatCode>
                <c:ptCount val="5"/>
                <c:pt idx="0">
                  <c:v>0.16572176188399476</c:v>
                </c:pt>
                <c:pt idx="1">
                  <c:v>0.20405014464802315</c:v>
                </c:pt>
                <c:pt idx="2">
                  <c:v>7.9888627115013822E-2</c:v>
                </c:pt>
                <c:pt idx="3">
                  <c:v>4.8608226007478141E-2</c:v>
                </c:pt>
                <c:pt idx="4">
                  <c:v>0.28723404255319152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8C-4CE1-9614-1D6371971533}"/>
            </c:ext>
          </c:extLst>
        </c:ser>
        <c:ser>
          <c:idx val="3"/>
          <c:order val="3"/>
          <c:tx>
            <c:strRef>
              <c:f>'Edge Cuts'!$N$73</c:f>
              <c:strCache>
                <c:ptCount val="1"/>
                <c:pt idx="0">
                  <c:v>Deep NUGP, ε relaxed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Cuts'!$J$74:$J$78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Cuts'!$N$74:$N$78</c:f>
              <c:numCache>
                <c:formatCode>0%</c:formatCode>
                <c:ptCount val="5"/>
                <c:pt idx="0">
                  <c:v>0.44679459223724383</c:v>
                </c:pt>
                <c:pt idx="1">
                  <c:v>0.267695274831244</c:v>
                </c:pt>
                <c:pt idx="2">
                  <c:v>0.20111372884986076</c:v>
                </c:pt>
                <c:pt idx="3">
                  <c:v>0.3028666389696717</c:v>
                </c:pt>
                <c:pt idx="4">
                  <c:v>0.36212765957446807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8C-4CE1-9614-1D6371971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988687"/>
        <c:axId val="243986287"/>
      </c:scatterChart>
      <c:valAx>
        <c:axId val="24398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Skewness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86287"/>
        <c:crosses val="autoZero"/>
        <c:crossBetween val="midCat"/>
      </c:valAx>
      <c:valAx>
        <c:axId val="24398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baseline="0">
                    <a:effectLst/>
                  </a:rPr>
                  <a:t>Percentage of Improvement</a:t>
                </a:r>
                <a:endParaRPr lang="en-US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8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Runtime with Different Skewness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Runtimes!$F$62:$F$66</c:f>
              <c:numCache>
                <c:formatCode>General</c:formatCode>
                <c:ptCount val="5"/>
                <c:pt idx="0">
                  <c:v>1.7651999999999997</c:v>
                </c:pt>
                <c:pt idx="1">
                  <c:v>1.6149999999999998</c:v>
                </c:pt>
                <c:pt idx="2">
                  <c:v>1.8596666666666666</c:v>
                </c:pt>
                <c:pt idx="3">
                  <c:v>1.5486</c:v>
                </c:pt>
                <c:pt idx="4">
                  <c:v>1.645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9C-4EBB-BB4E-499F4E856DA1}"/>
            </c:ext>
          </c:extLst>
        </c:ser>
        <c:ser>
          <c:idx val="5"/>
          <c:order val="5"/>
          <c:tx>
            <c:strRef>
              <c:f>Runtimes!$G$61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Runtimes!$G$62:$G$66</c:f>
              <c:numCache>
                <c:formatCode>General</c:formatCode>
                <c:ptCount val="5"/>
                <c:pt idx="0">
                  <c:v>1.5427999999999999</c:v>
                </c:pt>
                <c:pt idx="1">
                  <c:v>1.4246000000000001</c:v>
                </c:pt>
                <c:pt idx="2">
                  <c:v>1.4766666666666666</c:v>
                </c:pt>
                <c:pt idx="3">
                  <c:v>1.5143999999999997</c:v>
                </c:pt>
                <c:pt idx="4">
                  <c:v>1.7266000000000001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9C-4EBB-BB4E-499F4E856DA1}"/>
            </c:ext>
          </c:extLst>
        </c:ser>
        <c:ser>
          <c:idx val="6"/>
          <c:order val="6"/>
          <c:tx>
            <c:strRef>
              <c:f>Runtimes!$H$61</c:f>
              <c:strCache>
                <c:ptCount val="1"/>
                <c:pt idx="0">
                  <c:v>Deep NUGP,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Runtimes!$H$62:$H$66</c:f>
              <c:numCache>
                <c:formatCode>General</c:formatCode>
                <c:ptCount val="5"/>
                <c:pt idx="0">
                  <c:v>2.0491999999999999</c:v>
                </c:pt>
                <c:pt idx="1">
                  <c:v>2.4645999999999999</c:v>
                </c:pt>
                <c:pt idx="2">
                  <c:v>2.3188</c:v>
                </c:pt>
                <c:pt idx="3">
                  <c:v>3.2698</c:v>
                </c:pt>
                <c:pt idx="4">
                  <c:v>3.2920000000000003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2F-409D-B6E8-018D061A82C9}"/>
            </c:ext>
          </c:extLst>
        </c:ser>
        <c:ser>
          <c:idx val="7"/>
          <c:order val="7"/>
          <c:tx>
            <c:strRef>
              <c:f>Runtimes!$I$61</c:f>
              <c:strCache>
                <c:ptCount val="1"/>
                <c:pt idx="0">
                  <c:v>Deep NUGP, ε relaxed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Runtimes!$I$62:$I$66</c:f>
              <c:numCache>
                <c:formatCode>General</c:formatCode>
                <c:ptCount val="5"/>
                <c:pt idx="0">
                  <c:v>2.1360000000000001</c:v>
                </c:pt>
                <c:pt idx="1">
                  <c:v>2.3527999999999998</c:v>
                </c:pt>
                <c:pt idx="2">
                  <c:v>2.5575999999999999</c:v>
                </c:pt>
                <c:pt idx="3">
                  <c:v>2.8836000000000004</c:v>
                </c:pt>
                <c:pt idx="4">
                  <c:v>2.8836000000000004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2F-409D-B6E8-018D061A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12703"/>
        <c:axId val="5800131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Runtimes!$B$62:$B$66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29.731999999999999</c:v>
                      </c:pt>
                      <c:pt idx="1">
                        <c:v>28.893000000000001</c:v>
                      </c:pt>
                      <c:pt idx="2">
                        <c:v>34.006666666666668</c:v>
                      </c:pt>
                      <c:pt idx="3">
                        <c:v>27.123799999999999</c:v>
                      </c:pt>
                      <c:pt idx="4">
                        <c:v>38.709799999999994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F9C-4EBB-BB4E-499F4E856DA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27.472799999999999</c:v>
                      </c:pt>
                      <c:pt idx="1">
                        <c:v>28.877400000000002</c:v>
                      </c:pt>
                      <c:pt idx="2">
                        <c:v>33.774000000000001</c:v>
                      </c:pt>
                      <c:pt idx="3">
                        <c:v>26.436799999999998</c:v>
                      </c:pt>
                      <c:pt idx="4">
                        <c:v>26.740999999999996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F9C-4EBB-BB4E-499F4E856DA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Runtimes!$D$62:$D$66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3.2576000000000001</c:v>
                      </c:pt>
                      <c:pt idx="1">
                        <c:v>4.0167999999999999</c:v>
                      </c:pt>
                      <c:pt idx="2">
                        <c:v>3.6713333333333331</c:v>
                      </c:pt>
                      <c:pt idx="3">
                        <c:v>12.863200000000001</c:v>
                      </c:pt>
                      <c:pt idx="4">
                        <c:v>12.624600000000001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9C-4EBB-BB4E-499F4E856DA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Runtimes!$E$62:$E$66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1.2372000000000001</c:v>
                      </c:pt>
                      <c:pt idx="1">
                        <c:v>1.2368000000000001</c:v>
                      </c:pt>
                      <c:pt idx="2">
                        <c:v>1.3206666666666667</c:v>
                      </c:pt>
                      <c:pt idx="3">
                        <c:v>10.163</c:v>
                      </c:pt>
                      <c:pt idx="4">
                        <c:v>9.2776000000000014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F9C-4EBB-BB4E-499F4E856DA1}"/>
                  </c:ext>
                </c:extLst>
              </c15:ser>
            </c15:filteredScatterSeries>
          </c:ext>
        </c:extLst>
      </c:scatterChart>
      <c:valAx>
        <c:axId val="58001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3183"/>
        <c:crosses val="autoZero"/>
        <c:crossBetween val="midCat"/>
      </c:valAx>
      <c:valAx>
        <c:axId val="5800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2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Mean Deviation Percentage from Desired Partition Size</a:t>
            </a:r>
            <a:endParaRPr lang="en-US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CCM!$B$110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CCM!$B$111:$B$115</c:f>
              <c:numCache>
                <c:formatCode>0.00%</c:formatCode>
                <c:ptCount val="5"/>
                <c:pt idx="0">
                  <c:v>0.72198799999999985</c:v>
                </c:pt>
                <c:pt idx="1">
                  <c:v>0.308392</c:v>
                </c:pt>
                <c:pt idx="2">
                  <c:v>3.4953999999999999E-2</c:v>
                </c:pt>
                <c:pt idx="3">
                  <c:v>0.36318400000000001</c:v>
                </c:pt>
                <c:pt idx="4">
                  <c:v>3.7655300000000005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2C-4BD2-A929-AB3EC64839E6}"/>
            </c:ext>
          </c:extLst>
        </c:ser>
        <c:ser>
          <c:idx val="1"/>
          <c:order val="1"/>
          <c:tx>
            <c:strRef>
              <c:f>CCM!$C$110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CCM!$C$111:$C$115</c:f>
              <c:numCache>
                <c:formatCode>0.00%</c:formatCode>
                <c:ptCount val="5"/>
                <c:pt idx="0">
                  <c:v>0.68982200000000005</c:v>
                </c:pt>
                <c:pt idx="1">
                  <c:v>0.27985599999999999</c:v>
                </c:pt>
                <c:pt idx="2">
                  <c:v>2.3556000000000001E-2</c:v>
                </c:pt>
                <c:pt idx="3">
                  <c:v>0.38479799999999997</c:v>
                </c:pt>
                <c:pt idx="4">
                  <c:v>3.8963570000000005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2C-4BD2-A929-AB3EC64839E6}"/>
            </c:ext>
          </c:extLst>
        </c:ser>
        <c:ser>
          <c:idx val="2"/>
          <c:order val="2"/>
          <c:tx>
            <c:strRef>
              <c:f>CCM!$D$110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CCM!$D$111:$D$115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7.1400000000000001E-4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2C-4BD2-A929-AB3EC64839E6}"/>
            </c:ext>
          </c:extLst>
        </c:ser>
        <c:ser>
          <c:idx val="3"/>
          <c:order val="3"/>
          <c:tx>
            <c:strRef>
              <c:f>CCM!$E$110</c:f>
              <c:strCache>
                <c:ptCount val="1"/>
                <c:pt idx="0">
                  <c:v>Deep Multilevel, ε relaxed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CCM!$E$111:$E$115</c:f>
              <c:numCache>
                <c:formatCode>0.00%</c:formatCode>
                <c:ptCount val="5"/>
                <c:pt idx="0">
                  <c:v>4.9239999999999999E-2</c:v>
                </c:pt>
                <c:pt idx="1">
                  <c:v>4.4242400000000001E-2</c:v>
                </c:pt>
                <c:pt idx="2">
                  <c:v>4.2907979999999998E-2</c:v>
                </c:pt>
                <c:pt idx="3">
                  <c:v>4.6404399999999998E-2</c:v>
                </c:pt>
                <c:pt idx="4">
                  <c:v>0.10149420000000001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D5-4BDD-8A25-763E69E9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09823"/>
        <c:axId val="476346831"/>
      </c:scatterChart>
      <c:valAx>
        <c:axId val="58000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46831"/>
        <c:crosses val="autoZero"/>
        <c:crossBetween val="midCat"/>
      </c:valAx>
      <c:valAx>
        <c:axId val="4763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0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baseline="0">
                <a:effectLst/>
              </a:rPr>
              <a:t>Cardinality Compliance Metric (CCM) 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CCM!$C$100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CCM!$C$101:$C$105</c:f>
              <c:numCache>
                <c:formatCode>0%</c:formatCode>
                <c:ptCount val="5"/>
                <c:pt idx="0">
                  <c:v>0.49014600000000003</c:v>
                </c:pt>
                <c:pt idx="1">
                  <c:v>0.25796000000000002</c:v>
                </c:pt>
                <c:pt idx="2">
                  <c:v>2.3472E-2</c:v>
                </c:pt>
                <c:pt idx="3">
                  <c:v>0.3322</c:v>
                </c:pt>
                <c:pt idx="4">
                  <c:v>0.9071999999999999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43-4AF1-A1E5-54AF1E0E5B7F}"/>
            </c:ext>
          </c:extLst>
        </c:ser>
        <c:ser>
          <c:idx val="2"/>
          <c:order val="2"/>
          <c:tx>
            <c:strRef>
              <c:f>CCM!$D$100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CCM!$D$101:$D$105</c:f>
              <c:numCache>
                <c:formatCode>0%</c:formatCode>
                <c:ptCount val="5"/>
                <c:pt idx="0">
                  <c:v>0.51439999999999997</c:v>
                </c:pt>
                <c:pt idx="1">
                  <c:v>0.28450000000000003</c:v>
                </c:pt>
                <c:pt idx="2">
                  <c:v>3.7499999999999999E-2</c:v>
                </c:pt>
                <c:pt idx="3">
                  <c:v>0.31260000000000004</c:v>
                </c:pt>
                <c:pt idx="4">
                  <c:v>0.8972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43-4AF1-A1E5-54AF1E0E5B7F}"/>
            </c:ext>
          </c:extLst>
        </c:ser>
        <c:ser>
          <c:idx val="3"/>
          <c:order val="3"/>
          <c:tx>
            <c:strRef>
              <c:f>CCM!$E$100</c:f>
              <c:strCache>
                <c:ptCount val="1"/>
                <c:pt idx="0">
                  <c:v>Deep NUGP, ε= 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CCM!$E$101:$E$105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2.808949752808988E-4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D3-43AA-B267-669B591D6F9E}"/>
            </c:ext>
          </c:extLst>
        </c:ser>
        <c:ser>
          <c:idx val="4"/>
          <c:order val="4"/>
          <c:tx>
            <c:strRef>
              <c:f>CCM!$F$100</c:f>
              <c:strCache>
                <c:ptCount val="1"/>
                <c:pt idx="0">
                  <c:v>Deep NUGP, ε relaxed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CCM!$F$101:$F$105</c:f>
              <c:numCache>
                <c:formatCode>0%</c:formatCode>
                <c:ptCount val="5"/>
                <c:pt idx="0">
                  <c:v>0.1</c:v>
                </c:pt>
                <c:pt idx="1">
                  <c:v>0.1197</c:v>
                </c:pt>
                <c:pt idx="2">
                  <c:v>0.1012424</c:v>
                </c:pt>
                <c:pt idx="3">
                  <c:v>0.13762959999999999</c:v>
                </c:pt>
                <c:pt idx="4">
                  <c:v>0.10664660000000001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D3-43AA-B267-669B591D6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48271"/>
        <c:axId val="476351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CCM!$B$100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CCM!$A$101:$A$105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CCM!$B$101:$B$105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7.1599999999999983E-2</c:v>
                      </c:pt>
                      <c:pt idx="4">
                        <c:v>0.37730000000000008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D43-4AF1-A1E5-54AF1E0E5B7F}"/>
                  </c:ext>
                </c:extLst>
              </c15:ser>
            </c15:filteredScatterSeries>
          </c:ext>
        </c:extLst>
      </c:scatterChart>
      <c:valAx>
        <c:axId val="47634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1151"/>
        <c:crosses val="autoZero"/>
        <c:crossBetween val="midCat"/>
      </c:valAx>
      <c:valAx>
        <c:axId val="4763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48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Contiguity!$F$62:$F$66</c:f>
              <c:numCache>
                <c:formatCode>General</c:formatCode>
                <c:ptCount val="5"/>
                <c:pt idx="0">
                  <c:v>19.8</c:v>
                </c:pt>
                <c:pt idx="1">
                  <c:v>13.8</c:v>
                </c:pt>
                <c:pt idx="2">
                  <c:v>11.8</c:v>
                </c:pt>
                <c:pt idx="3">
                  <c:v>18.8</c:v>
                </c:pt>
                <c:pt idx="4">
                  <c:v>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D4-4058-85A0-655D0B8FBD44}"/>
            </c:ext>
          </c:extLst>
        </c:ser>
        <c:ser>
          <c:idx val="5"/>
          <c:order val="5"/>
          <c:tx>
            <c:strRef>
              <c:f>Contiguity!$G$61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Contiguity!$G$62:$G$66</c:f>
              <c:numCache>
                <c:formatCode>General</c:formatCode>
                <c:ptCount val="5"/>
                <c:pt idx="0">
                  <c:v>38.799999999999997</c:v>
                </c:pt>
                <c:pt idx="1">
                  <c:v>54</c:v>
                </c:pt>
                <c:pt idx="2">
                  <c:v>50.8</c:v>
                </c:pt>
                <c:pt idx="3">
                  <c:v>55.6</c:v>
                </c:pt>
                <c:pt idx="4">
                  <c:v>38.200000000000003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D4-4058-85A0-655D0B8FBD44}"/>
            </c:ext>
          </c:extLst>
        </c:ser>
        <c:ser>
          <c:idx val="6"/>
          <c:order val="6"/>
          <c:tx>
            <c:strRef>
              <c:f>Contiguity!$H$61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Contiguity!$H$62:$H$66</c:f>
              <c:numCache>
                <c:formatCode>General</c:formatCode>
                <c:ptCount val="5"/>
                <c:pt idx="0">
                  <c:v>1203.8</c:v>
                </c:pt>
                <c:pt idx="1">
                  <c:v>832.4</c:v>
                </c:pt>
                <c:pt idx="2">
                  <c:v>33.200000000000003</c:v>
                </c:pt>
                <c:pt idx="3">
                  <c:v>1344</c:v>
                </c:pt>
                <c:pt idx="4">
                  <c:v>1019.8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E-4D5B-984C-CC95BD061CBD}"/>
            </c:ext>
          </c:extLst>
        </c:ser>
        <c:ser>
          <c:idx val="7"/>
          <c:order val="7"/>
          <c:tx>
            <c:strRef>
              <c:f>Contiguity!$I$61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Contiguity!$I$62:$I$66</c:f>
              <c:numCache>
                <c:formatCode>General</c:formatCode>
                <c:ptCount val="5"/>
                <c:pt idx="0">
                  <c:v>888</c:v>
                </c:pt>
                <c:pt idx="1">
                  <c:v>368.8</c:v>
                </c:pt>
                <c:pt idx="2">
                  <c:v>12</c:v>
                </c:pt>
                <c:pt idx="3">
                  <c:v>849.8</c:v>
                </c:pt>
                <c:pt idx="4">
                  <c:v>1081.4000000000001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DE-4D5B-984C-CC95BD06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41599"/>
        <c:axId val="58274351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Contiguity!$B$62:$B$66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246</c:v>
                      </c:pt>
                      <c:pt idx="1">
                        <c:v>458.4</c:v>
                      </c:pt>
                      <c:pt idx="2">
                        <c:v>442.4</c:v>
                      </c:pt>
                      <c:pt idx="3">
                        <c:v>313.39999999999998</c:v>
                      </c:pt>
                      <c:pt idx="4">
                        <c:v>168.8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BD4-4058-85A0-655D0B8FBD4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440</c:v>
                      </c:pt>
                      <c:pt idx="1">
                        <c:v>405.8</c:v>
                      </c:pt>
                      <c:pt idx="2">
                        <c:v>349.6</c:v>
                      </c:pt>
                      <c:pt idx="3">
                        <c:v>426.8</c:v>
                      </c:pt>
                      <c:pt idx="4">
                        <c:v>253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D4-4058-85A0-655D0B8FBD4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Contiguity!$D$62:$D$66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1032.5999999999999</c:v>
                      </c:pt>
                      <c:pt idx="1">
                        <c:v>1332.6</c:v>
                      </c:pt>
                      <c:pt idx="2">
                        <c:v>2884.4</c:v>
                      </c:pt>
                      <c:pt idx="3">
                        <c:v>1872.4</c:v>
                      </c:pt>
                      <c:pt idx="4">
                        <c:v>2611.4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D4-4058-85A0-655D0B8FBD4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Contiguity!$E$62:$E$66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1096</c:v>
                      </c:pt>
                      <c:pt idx="1">
                        <c:v>1047.2</c:v>
                      </c:pt>
                      <c:pt idx="2">
                        <c:v>1128.5999999999999</c:v>
                      </c:pt>
                      <c:pt idx="3">
                        <c:v>1085</c:v>
                      </c:pt>
                      <c:pt idx="4">
                        <c:v>860.8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D4-4058-85A0-655D0B8FBD44}"/>
                  </c:ext>
                </c:extLst>
              </c15:ser>
            </c15:filteredScatterSeries>
          </c:ext>
        </c:extLst>
      </c:scatterChart>
      <c:valAx>
        <c:axId val="58274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43519"/>
        <c:crosses val="autoZero"/>
        <c:crossBetween val="midCat"/>
      </c:valAx>
      <c:valAx>
        <c:axId val="5827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Number of Connected</a:t>
                </a:r>
                <a:r>
                  <a:rPr lang="en-US" sz="1600" baseline="0"/>
                  <a:t> Components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1205602212885855E-2"/>
              <c:y val="0.22666380345732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4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72</xdr:row>
      <xdr:rowOff>176212</xdr:rowOff>
    </xdr:from>
    <xdr:to>
      <xdr:col>7</xdr:col>
      <xdr:colOff>285750</xdr:colOff>
      <xdr:row>95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AFC14-8242-ACD8-4CF5-1B8F60D5B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971549</xdr:colOff>
      <xdr:row>78</xdr:row>
      <xdr:rowOff>138111</xdr:rowOff>
    </xdr:from>
    <xdr:to>
      <xdr:col>16</xdr:col>
      <xdr:colOff>485774</xdr:colOff>
      <xdr:row>101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EF627F-6A47-5BCC-A072-85AF9D90E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853166</xdr:colOff>
      <xdr:row>68</xdr:row>
      <xdr:rowOff>110899</xdr:rowOff>
    </xdr:from>
    <xdr:to>
      <xdr:col>6</xdr:col>
      <xdr:colOff>217713</xdr:colOff>
      <xdr:row>91</xdr:row>
      <xdr:rowOff>122465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8BF20-15FA-301A-995A-7D7D7D4EF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721178</xdr:colOff>
      <xdr:row>113</xdr:row>
      <xdr:rowOff>174850</xdr:rowOff>
    </xdr:from>
    <xdr:to>
      <xdr:col>18</xdr:col>
      <xdr:colOff>476249</xdr:colOff>
      <xdr:row>136</xdr:row>
      <xdr:rowOff>176891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78BED-2DAE-8B86-823A-248E88C0D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1708379</xdr:colOff>
      <xdr:row>114</xdr:row>
      <xdr:rowOff>112258</xdr:rowOff>
    </xdr:from>
    <xdr:to>
      <xdr:col>8</xdr:col>
      <xdr:colOff>340180</xdr:colOff>
      <xdr:row>137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54768-6C3B-9457-B05E-398438FF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574902</xdr:colOff>
      <xdr:row>66</xdr:row>
      <xdr:rowOff>71437</xdr:rowOff>
    </xdr:from>
    <xdr:to>
      <xdr:col>24</xdr:col>
      <xdr:colOff>27215</xdr:colOff>
      <xdr:row>89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9DF4A2-FBE3-995B-14F1-1A3ADE877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A66" zoomScale="85" zoomScaleNormal="85" workbookViewId="0">
      <selection activeCell="S82" sqref="S82"/>
    </sheetView>
  </sheetViews>
  <sheetFormatPr defaultRowHeight="15" x14ac:dyDescent="0.25"/>
  <cols>
    <col min="2" max="2" width="15.85546875" bestFit="1" customWidth="1"/>
    <col min="3" max="3" width="22.140625" customWidth="1"/>
    <col min="4" max="4" width="38.28515625" bestFit="1" customWidth="1"/>
    <col min="5" max="5" width="23.570312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C1" t="s">
        <v>3</v>
      </c>
      <c r="D1" t="s">
        <v>28</v>
      </c>
    </row>
    <row r="2" spans="1:9" x14ac:dyDescent="0.25">
      <c r="A2" s="14" t="s">
        <v>18</v>
      </c>
      <c r="B2" s="14"/>
      <c r="C2" s="14"/>
      <c r="D2" s="14"/>
      <c r="E2" s="14"/>
      <c r="F2" s="14"/>
      <c r="G2" s="14"/>
    </row>
    <row r="3" spans="1:9" x14ac:dyDescent="0.25">
      <c r="A3" s="13" t="s">
        <v>4</v>
      </c>
      <c r="B3" s="13"/>
      <c r="C3" s="13"/>
      <c r="D3" s="13"/>
      <c r="E3" s="13"/>
      <c r="F3" s="13"/>
      <c r="G3" s="13"/>
    </row>
    <row r="4" spans="1:9" ht="45" x14ac:dyDescent="0.25">
      <c r="A4" s="5"/>
      <c r="B4" s="1" t="s">
        <v>5</v>
      </c>
      <c r="C4" s="6" t="s">
        <v>6</v>
      </c>
      <c r="D4" s="1" t="s">
        <v>7</v>
      </c>
      <c r="E4" s="6" t="s">
        <v>8</v>
      </c>
      <c r="F4" s="1" t="s">
        <v>1</v>
      </c>
      <c r="G4" s="1" t="s">
        <v>0</v>
      </c>
      <c r="H4" s="2" t="s">
        <v>26</v>
      </c>
      <c r="I4" s="10" t="s">
        <v>34</v>
      </c>
    </row>
    <row r="5" spans="1:9" x14ac:dyDescent="0.25">
      <c r="A5" s="1" t="s">
        <v>9</v>
      </c>
      <c r="B5">
        <v>3296</v>
      </c>
      <c r="C5">
        <v>3264</v>
      </c>
      <c r="D5">
        <v>5302</v>
      </c>
      <c r="E5">
        <v>4977</v>
      </c>
      <c r="F5">
        <v>770</v>
      </c>
      <c r="G5">
        <v>870</v>
      </c>
      <c r="H5">
        <v>933</v>
      </c>
      <c r="I5">
        <v>507</v>
      </c>
    </row>
    <row r="6" spans="1:9" x14ac:dyDescent="0.25">
      <c r="A6" s="1" t="s">
        <v>10</v>
      </c>
      <c r="B6">
        <v>3325</v>
      </c>
      <c r="C6">
        <v>3775</v>
      </c>
      <c r="D6">
        <v>5067</v>
      </c>
      <c r="E6">
        <v>4491</v>
      </c>
      <c r="F6">
        <v>786</v>
      </c>
      <c r="G6">
        <v>959</v>
      </c>
      <c r="H6">
        <v>746</v>
      </c>
      <c r="I6">
        <v>575</v>
      </c>
    </row>
    <row r="7" spans="1:9" x14ac:dyDescent="0.25">
      <c r="A7" s="1" t="s">
        <v>11</v>
      </c>
      <c r="B7">
        <v>2922</v>
      </c>
      <c r="C7">
        <v>3776</v>
      </c>
      <c r="D7">
        <v>4514</v>
      </c>
      <c r="E7">
        <v>5187</v>
      </c>
      <c r="F7">
        <v>728</v>
      </c>
      <c r="G7">
        <v>933</v>
      </c>
      <c r="H7">
        <v>739</v>
      </c>
      <c r="I7">
        <v>511</v>
      </c>
    </row>
    <row r="8" spans="1:9" x14ac:dyDescent="0.25">
      <c r="A8" s="1" t="s">
        <v>12</v>
      </c>
      <c r="B8">
        <v>3847</v>
      </c>
      <c r="C8">
        <v>3329</v>
      </c>
      <c r="D8">
        <v>4574</v>
      </c>
      <c r="E8">
        <v>4809</v>
      </c>
      <c r="F8">
        <v>728</v>
      </c>
      <c r="G8">
        <v>927</v>
      </c>
      <c r="H8">
        <v>644</v>
      </c>
      <c r="I8">
        <v>415</v>
      </c>
    </row>
    <row r="9" spans="1:9" x14ac:dyDescent="0.25">
      <c r="A9" s="1" t="s">
        <v>13</v>
      </c>
      <c r="B9">
        <v>3300</v>
      </c>
      <c r="C9">
        <v>3837</v>
      </c>
      <c r="D9">
        <v>4914</v>
      </c>
      <c r="E9">
        <v>5122</v>
      </c>
      <c r="F9">
        <v>753</v>
      </c>
      <c r="G9">
        <v>897</v>
      </c>
      <c r="H9">
        <v>764</v>
      </c>
      <c r="I9">
        <v>529</v>
      </c>
    </row>
    <row r="14" spans="1:9" x14ac:dyDescent="0.25">
      <c r="C14" t="s">
        <v>3</v>
      </c>
      <c r="D14" s="11" t="s">
        <v>29</v>
      </c>
    </row>
    <row r="15" spans="1:9" x14ac:dyDescent="0.25">
      <c r="A15" s="14" t="s">
        <v>19</v>
      </c>
      <c r="B15" s="14"/>
      <c r="C15" s="14"/>
      <c r="D15" s="14"/>
      <c r="E15" s="14"/>
      <c r="F15" s="14"/>
      <c r="G15" s="14"/>
    </row>
    <row r="16" spans="1:9" x14ac:dyDescent="0.25">
      <c r="A16" s="13" t="s">
        <v>4</v>
      </c>
      <c r="B16" s="13"/>
      <c r="C16" s="13"/>
      <c r="D16" s="13"/>
      <c r="E16" s="13"/>
      <c r="F16" s="13"/>
      <c r="G16" s="13"/>
    </row>
    <row r="17" spans="1:9" ht="45" x14ac:dyDescent="0.25">
      <c r="A17" s="5"/>
      <c r="B17" s="1" t="s">
        <v>5</v>
      </c>
      <c r="C17" s="6" t="s">
        <v>6</v>
      </c>
      <c r="D17" s="1" t="s">
        <v>7</v>
      </c>
      <c r="E17" s="6" t="s">
        <v>8</v>
      </c>
      <c r="F17" s="1" t="s">
        <v>1</v>
      </c>
      <c r="G17" s="1" t="s">
        <v>0</v>
      </c>
      <c r="H17" s="2" t="s">
        <v>26</v>
      </c>
      <c r="I17" s="10" t="s">
        <v>34</v>
      </c>
    </row>
    <row r="18" spans="1:9" x14ac:dyDescent="0.25">
      <c r="A18" s="1" t="s">
        <v>9</v>
      </c>
      <c r="B18">
        <v>3660</v>
      </c>
      <c r="C18">
        <v>3160</v>
      </c>
      <c r="D18">
        <v>5824</v>
      </c>
      <c r="E18">
        <v>4611</v>
      </c>
      <c r="F18">
        <v>729</v>
      </c>
      <c r="G18">
        <v>939</v>
      </c>
      <c r="H18">
        <v>821</v>
      </c>
      <c r="I18">
        <v>764</v>
      </c>
    </row>
    <row r="19" spans="1:9" x14ac:dyDescent="0.25">
      <c r="A19" s="1" t="s">
        <v>10</v>
      </c>
      <c r="B19">
        <v>3359</v>
      </c>
      <c r="C19">
        <v>3402</v>
      </c>
      <c r="D19">
        <v>5103</v>
      </c>
      <c r="E19">
        <v>4239</v>
      </c>
      <c r="F19">
        <v>760</v>
      </c>
      <c r="G19">
        <v>880</v>
      </c>
      <c r="H19">
        <v>932</v>
      </c>
      <c r="I19">
        <v>719</v>
      </c>
    </row>
    <row r="20" spans="1:9" x14ac:dyDescent="0.25">
      <c r="A20" s="1" t="s">
        <v>11</v>
      </c>
      <c r="B20">
        <v>3175</v>
      </c>
      <c r="C20">
        <v>3575</v>
      </c>
      <c r="D20">
        <v>4560</v>
      </c>
      <c r="E20">
        <v>4338</v>
      </c>
      <c r="F20">
        <v>737</v>
      </c>
      <c r="G20">
        <v>882</v>
      </c>
      <c r="H20">
        <v>869</v>
      </c>
      <c r="I20">
        <v>806</v>
      </c>
    </row>
    <row r="21" spans="1:9" x14ac:dyDescent="0.25">
      <c r="A21" s="1" t="s">
        <v>12</v>
      </c>
      <c r="B21">
        <v>3705</v>
      </c>
      <c r="C21">
        <v>3933</v>
      </c>
      <c r="D21">
        <v>5271</v>
      </c>
      <c r="E21">
        <v>4924</v>
      </c>
      <c r="F21">
        <v>774</v>
      </c>
      <c r="G21">
        <v>1064</v>
      </c>
      <c r="H21">
        <v>803</v>
      </c>
      <c r="I21">
        <v>747</v>
      </c>
    </row>
    <row r="22" spans="1:9" x14ac:dyDescent="0.25">
      <c r="A22" s="1" t="s">
        <v>13</v>
      </c>
      <c r="B22">
        <v>3543</v>
      </c>
      <c r="C22">
        <v>3460</v>
      </c>
      <c r="D22">
        <v>5907</v>
      </c>
      <c r="E22">
        <v>4577</v>
      </c>
      <c r="F22">
        <v>725</v>
      </c>
      <c r="G22">
        <v>1420</v>
      </c>
      <c r="H22">
        <v>702</v>
      </c>
      <c r="I22">
        <v>761</v>
      </c>
    </row>
    <row r="27" spans="1:9" x14ac:dyDescent="0.25">
      <c r="C27" t="s">
        <v>3</v>
      </c>
      <c r="D27" s="11" t="s">
        <v>30</v>
      </c>
    </row>
    <row r="28" spans="1:9" x14ac:dyDescent="0.25">
      <c r="A28" s="14" t="s">
        <v>20</v>
      </c>
      <c r="B28" s="14"/>
      <c r="C28" s="14"/>
      <c r="D28" s="14"/>
      <c r="E28" s="14"/>
      <c r="F28" s="14"/>
      <c r="G28" s="14"/>
    </row>
    <row r="29" spans="1:9" x14ac:dyDescent="0.25">
      <c r="A29" s="13" t="s">
        <v>4</v>
      </c>
      <c r="B29" s="13"/>
      <c r="C29" s="13"/>
      <c r="D29" s="13"/>
      <c r="E29" s="13"/>
      <c r="F29" s="13"/>
      <c r="G29" s="13"/>
    </row>
    <row r="30" spans="1:9" ht="45" x14ac:dyDescent="0.25">
      <c r="A30" s="5"/>
      <c r="B30" s="1" t="s">
        <v>5</v>
      </c>
      <c r="C30" s="6" t="s">
        <v>6</v>
      </c>
      <c r="D30" s="1" t="s">
        <v>7</v>
      </c>
      <c r="E30" s="6" t="s">
        <v>8</v>
      </c>
      <c r="F30" s="1" t="s">
        <v>1</v>
      </c>
      <c r="G30" s="1" t="s">
        <v>0</v>
      </c>
      <c r="H30" s="2" t="s">
        <v>26</v>
      </c>
      <c r="I30" s="10" t="s">
        <v>34</v>
      </c>
    </row>
    <row r="31" spans="1:9" x14ac:dyDescent="0.25">
      <c r="A31" s="1" t="s">
        <v>9</v>
      </c>
      <c r="B31">
        <v>3458</v>
      </c>
      <c r="C31">
        <v>3307</v>
      </c>
      <c r="D31">
        <v>7057</v>
      </c>
      <c r="E31">
        <v>4801</v>
      </c>
      <c r="F31">
        <v>741</v>
      </c>
      <c r="G31">
        <v>968</v>
      </c>
      <c r="H31">
        <v>840</v>
      </c>
      <c r="I31">
        <v>749</v>
      </c>
    </row>
    <row r="32" spans="1:9" x14ac:dyDescent="0.25">
      <c r="A32" s="1" t="s">
        <v>10</v>
      </c>
      <c r="B32">
        <v>3488</v>
      </c>
      <c r="C32">
        <v>3429</v>
      </c>
      <c r="D32">
        <v>6216</v>
      </c>
      <c r="E32">
        <v>4288</v>
      </c>
      <c r="F32">
        <v>737</v>
      </c>
      <c r="G32">
        <v>857</v>
      </c>
      <c r="H32">
        <v>915</v>
      </c>
      <c r="I32">
        <v>739</v>
      </c>
    </row>
    <row r="33" spans="1:9" x14ac:dyDescent="0.25">
      <c r="A33" s="1" t="s">
        <v>11</v>
      </c>
      <c r="B33">
        <v>2771</v>
      </c>
      <c r="C33">
        <v>2916</v>
      </c>
      <c r="D33">
        <v>7798</v>
      </c>
      <c r="E33">
        <v>4846</v>
      </c>
      <c r="F33">
        <v>750</v>
      </c>
      <c r="G33">
        <v>833</v>
      </c>
      <c r="H33">
        <v>822</v>
      </c>
      <c r="I33">
        <v>737</v>
      </c>
    </row>
    <row r="34" spans="1:9" x14ac:dyDescent="0.25">
      <c r="A34" s="1" t="s">
        <v>12</v>
      </c>
      <c r="B34">
        <v>2764</v>
      </c>
      <c r="C34">
        <v>2826</v>
      </c>
      <c r="D34">
        <v>7253</v>
      </c>
      <c r="E34">
        <v>4857</v>
      </c>
      <c r="F34">
        <v>729</v>
      </c>
      <c r="G34">
        <v>853</v>
      </c>
      <c r="H34">
        <v>812</v>
      </c>
      <c r="I34">
        <v>751</v>
      </c>
    </row>
    <row r="35" spans="1:9" x14ac:dyDescent="0.25">
      <c r="A35" s="1" t="s">
        <v>13</v>
      </c>
      <c r="B35">
        <v>3981</v>
      </c>
      <c r="C35">
        <v>2759</v>
      </c>
      <c r="D35">
        <v>7135</v>
      </c>
      <c r="E35">
        <v>4575</v>
      </c>
      <c r="F35">
        <v>823</v>
      </c>
      <c r="G35">
        <v>1158</v>
      </c>
      <c r="H35">
        <v>907</v>
      </c>
      <c r="I35">
        <v>754</v>
      </c>
    </row>
    <row r="40" spans="1:9" x14ac:dyDescent="0.25">
      <c r="C40" t="s">
        <v>3</v>
      </c>
      <c r="D40" t="s">
        <v>31</v>
      </c>
    </row>
    <row r="41" spans="1:9" x14ac:dyDescent="0.25">
      <c r="A41" s="14" t="s">
        <v>21</v>
      </c>
      <c r="B41" s="14"/>
      <c r="C41" s="14"/>
      <c r="D41" s="14"/>
      <c r="E41" s="14"/>
      <c r="F41" s="14"/>
      <c r="G41" s="14"/>
    </row>
    <row r="42" spans="1:9" x14ac:dyDescent="0.25">
      <c r="A42" s="13" t="s">
        <v>4</v>
      </c>
      <c r="B42" s="13"/>
      <c r="C42" s="13"/>
      <c r="D42" s="13"/>
      <c r="E42" s="13"/>
      <c r="F42" s="13"/>
      <c r="G42" s="13"/>
    </row>
    <row r="43" spans="1:9" ht="45" x14ac:dyDescent="0.25">
      <c r="A43" s="5"/>
      <c r="B43" s="1" t="s">
        <v>5</v>
      </c>
      <c r="C43" s="6" t="s">
        <v>6</v>
      </c>
      <c r="D43" s="1" t="s">
        <v>7</v>
      </c>
      <c r="E43" s="6" t="s">
        <v>8</v>
      </c>
      <c r="F43" s="1" t="s">
        <v>1</v>
      </c>
      <c r="G43" s="1" t="s">
        <v>0</v>
      </c>
      <c r="H43" s="2" t="s">
        <v>26</v>
      </c>
      <c r="I43" s="10" t="s">
        <v>34</v>
      </c>
    </row>
    <row r="44" spans="1:9" x14ac:dyDescent="0.25">
      <c r="A44" s="1" t="s">
        <v>9</v>
      </c>
      <c r="B44">
        <v>3486</v>
      </c>
      <c r="C44">
        <v>3454</v>
      </c>
      <c r="D44">
        <v>4998</v>
      </c>
      <c r="E44">
        <v>5374</v>
      </c>
      <c r="F44">
        <v>770</v>
      </c>
      <c r="G44">
        <v>912</v>
      </c>
      <c r="H44">
        <v>947</v>
      </c>
      <c r="I44">
        <v>713</v>
      </c>
    </row>
    <row r="45" spans="1:9" x14ac:dyDescent="0.25">
      <c r="A45" s="1" t="s">
        <v>10</v>
      </c>
      <c r="B45">
        <v>3544</v>
      </c>
      <c r="C45">
        <v>3015</v>
      </c>
      <c r="D45">
        <v>5038</v>
      </c>
      <c r="E45">
        <v>4987</v>
      </c>
      <c r="F45">
        <v>781</v>
      </c>
      <c r="G45">
        <v>1007</v>
      </c>
      <c r="H45">
        <v>932</v>
      </c>
      <c r="I45">
        <v>632</v>
      </c>
    </row>
    <row r="46" spans="1:9" x14ac:dyDescent="0.25">
      <c r="A46" s="1" t="s">
        <v>11</v>
      </c>
      <c r="B46">
        <v>3115</v>
      </c>
      <c r="C46">
        <v>3071</v>
      </c>
      <c r="D46">
        <v>5482</v>
      </c>
      <c r="E46">
        <v>4845</v>
      </c>
      <c r="F46">
        <v>746</v>
      </c>
      <c r="G46">
        <v>954</v>
      </c>
      <c r="H46">
        <v>995</v>
      </c>
      <c r="I46">
        <v>702</v>
      </c>
    </row>
    <row r="47" spans="1:9" x14ac:dyDescent="0.25">
      <c r="A47" s="1" t="s">
        <v>12</v>
      </c>
      <c r="B47">
        <v>3699</v>
      </c>
      <c r="C47">
        <v>3195</v>
      </c>
      <c r="D47">
        <v>4958</v>
      </c>
      <c r="E47">
        <v>4133</v>
      </c>
      <c r="F47">
        <v>736</v>
      </c>
      <c r="G47">
        <v>898</v>
      </c>
      <c r="H47">
        <v>920</v>
      </c>
      <c r="I47">
        <v>614</v>
      </c>
    </row>
    <row r="48" spans="1:9" x14ac:dyDescent="0.25">
      <c r="A48" s="1" t="s">
        <v>13</v>
      </c>
      <c r="B48">
        <v>3560</v>
      </c>
      <c r="C48">
        <v>3923</v>
      </c>
      <c r="D48">
        <v>5177</v>
      </c>
      <c r="E48">
        <v>4843</v>
      </c>
      <c r="F48">
        <v>684</v>
      </c>
      <c r="G48">
        <v>1043</v>
      </c>
      <c r="H48">
        <v>786</v>
      </c>
      <c r="I48">
        <v>695</v>
      </c>
    </row>
    <row r="53" spans="1:9" x14ac:dyDescent="0.25">
      <c r="C53" t="s">
        <v>3</v>
      </c>
      <c r="D53" s="11" t="s">
        <v>35</v>
      </c>
    </row>
    <row r="54" spans="1:9" x14ac:dyDescent="0.25">
      <c r="A54" s="14" t="s">
        <v>22</v>
      </c>
      <c r="B54" s="14"/>
      <c r="C54" s="14"/>
      <c r="D54" s="14"/>
      <c r="E54" s="14"/>
      <c r="F54" s="14"/>
      <c r="G54" s="14"/>
    </row>
    <row r="55" spans="1:9" x14ac:dyDescent="0.25">
      <c r="A55" s="13" t="s">
        <v>4</v>
      </c>
      <c r="B55" s="13"/>
      <c r="C55" s="13"/>
      <c r="D55" s="13"/>
      <c r="E55" s="13"/>
      <c r="F55" s="13"/>
      <c r="G55" s="13"/>
    </row>
    <row r="56" spans="1:9" ht="45" x14ac:dyDescent="0.25">
      <c r="A56" s="5"/>
      <c r="B56" s="1" t="s">
        <v>5</v>
      </c>
      <c r="C56" s="6" t="s">
        <v>6</v>
      </c>
      <c r="D56" s="1" t="s">
        <v>7</v>
      </c>
      <c r="E56" s="6" t="s">
        <v>8</v>
      </c>
      <c r="F56" s="1" t="s">
        <v>1</v>
      </c>
      <c r="G56" s="1" t="s">
        <v>0</v>
      </c>
      <c r="H56" s="2" t="s">
        <v>26</v>
      </c>
      <c r="I56" s="10" t="s">
        <v>36</v>
      </c>
    </row>
    <row r="57" spans="1:9" x14ac:dyDescent="0.25">
      <c r="A57" s="1" t="s">
        <v>9</v>
      </c>
      <c r="B57">
        <v>3316</v>
      </c>
      <c r="C57">
        <v>3238</v>
      </c>
      <c r="D57">
        <v>7315</v>
      </c>
      <c r="E57">
        <v>4238</v>
      </c>
      <c r="F57">
        <v>746</v>
      </c>
      <c r="G57">
        <v>922</v>
      </c>
      <c r="H57">
        <v>768</v>
      </c>
      <c r="I57">
        <v>597</v>
      </c>
    </row>
    <row r="58" spans="1:9" x14ac:dyDescent="0.25">
      <c r="A58" s="1" t="s">
        <v>10</v>
      </c>
      <c r="B58">
        <v>3704</v>
      </c>
      <c r="C58">
        <v>2795</v>
      </c>
      <c r="D58">
        <v>7571</v>
      </c>
      <c r="E58">
        <v>4535</v>
      </c>
      <c r="F58">
        <v>716</v>
      </c>
      <c r="G58">
        <v>955</v>
      </c>
      <c r="H58">
        <v>606</v>
      </c>
      <c r="I58">
        <v>604</v>
      </c>
    </row>
    <row r="59" spans="1:9" x14ac:dyDescent="0.25">
      <c r="A59" s="1" t="s">
        <v>11</v>
      </c>
      <c r="B59">
        <v>2657</v>
      </c>
      <c r="C59">
        <v>3073</v>
      </c>
      <c r="D59">
        <v>8138</v>
      </c>
      <c r="E59">
        <v>4489</v>
      </c>
      <c r="F59">
        <v>687</v>
      </c>
      <c r="G59">
        <v>944</v>
      </c>
      <c r="H59">
        <v>680</v>
      </c>
      <c r="I59">
        <v>588</v>
      </c>
    </row>
    <row r="60" spans="1:9" x14ac:dyDescent="0.25">
      <c r="A60" s="1" t="s">
        <v>12</v>
      </c>
      <c r="B60">
        <v>2769</v>
      </c>
      <c r="C60">
        <v>3058</v>
      </c>
      <c r="D60">
        <v>7429</v>
      </c>
      <c r="E60">
        <v>4574</v>
      </c>
      <c r="F60">
        <v>787</v>
      </c>
      <c r="G60">
        <v>953</v>
      </c>
      <c r="H60">
        <v>536</v>
      </c>
      <c r="I60">
        <v>595</v>
      </c>
    </row>
    <row r="61" spans="1:9" x14ac:dyDescent="0.25">
      <c r="A61" s="1" t="s">
        <v>13</v>
      </c>
      <c r="B61">
        <v>2772</v>
      </c>
      <c r="C61">
        <v>2871</v>
      </c>
      <c r="D61">
        <v>7489</v>
      </c>
      <c r="E61">
        <v>4531</v>
      </c>
      <c r="F61">
        <v>782</v>
      </c>
      <c r="G61">
        <v>926</v>
      </c>
      <c r="H61">
        <v>760</v>
      </c>
      <c r="I61">
        <v>614</v>
      </c>
    </row>
    <row r="65" spans="1:14" x14ac:dyDescent="0.25">
      <c r="A65" s="15" t="s">
        <v>23</v>
      </c>
      <c r="B65" s="15"/>
      <c r="C65" s="15"/>
      <c r="D65" s="15"/>
      <c r="E65" s="15"/>
      <c r="F65" s="15"/>
      <c r="G65" s="15"/>
    </row>
    <row r="66" spans="1:14" x14ac:dyDescent="0.25">
      <c r="A66" s="13" t="s">
        <v>4</v>
      </c>
      <c r="B66" s="13"/>
      <c r="C66" s="13"/>
      <c r="D66" s="13"/>
      <c r="E66" s="13"/>
      <c r="F66" s="13"/>
      <c r="G66" s="13"/>
    </row>
    <row r="67" spans="1:14" ht="45" x14ac:dyDescent="0.25">
      <c r="A67" s="9"/>
      <c r="B67" s="1" t="s">
        <v>5</v>
      </c>
      <c r="C67" s="6" t="s">
        <v>6</v>
      </c>
      <c r="D67" s="1" t="s">
        <v>7</v>
      </c>
      <c r="E67" s="6" t="s">
        <v>8</v>
      </c>
      <c r="F67" s="1" t="s">
        <v>1</v>
      </c>
      <c r="G67" s="1" t="s">
        <v>0</v>
      </c>
      <c r="H67" s="2" t="s">
        <v>26</v>
      </c>
      <c r="I67" s="10" t="s">
        <v>34</v>
      </c>
    </row>
    <row r="68" spans="1:14" x14ac:dyDescent="0.25">
      <c r="A68" s="2">
        <v>0.7</v>
      </c>
      <c r="B68">
        <f t="shared" ref="B68:G68" si="0">AVERAGE(B5:B9)</f>
        <v>3338</v>
      </c>
      <c r="C68">
        <f t="shared" si="0"/>
        <v>3596.2</v>
      </c>
      <c r="D68">
        <f t="shared" si="0"/>
        <v>4874.2</v>
      </c>
      <c r="E68">
        <f t="shared" si="0"/>
        <v>4917.2</v>
      </c>
      <c r="F68">
        <f t="shared" si="0"/>
        <v>753</v>
      </c>
      <c r="G68">
        <f t="shared" si="0"/>
        <v>917.2</v>
      </c>
      <c r="H68">
        <f>AVERAGE(H5:H9)</f>
        <v>765.2</v>
      </c>
      <c r="I68">
        <f>AVERAGE(I5:I9)</f>
        <v>507.4</v>
      </c>
    </row>
    <row r="69" spans="1:14" x14ac:dyDescent="0.25">
      <c r="A69" s="3">
        <v>0.3</v>
      </c>
      <c r="B69">
        <f t="shared" ref="B69:G69" si="1">AVERAGE(B18:B22)</f>
        <v>3488.4</v>
      </c>
      <c r="C69">
        <f t="shared" si="1"/>
        <v>3506</v>
      </c>
      <c r="D69">
        <f t="shared" si="1"/>
        <v>5333</v>
      </c>
      <c r="E69">
        <f t="shared" si="1"/>
        <v>4537.8</v>
      </c>
      <c r="F69">
        <f t="shared" si="1"/>
        <v>745</v>
      </c>
      <c r="G69">
        <f t="shared" si="1"/>
        <v>1037</v>
      </c>
      <c r="H69">
        <f>AVERAGE(H18:H22)</f>
        <v>825.4</v>
      </c>
      <c r="I69">
        <f>AVERAGE(I18:I22)</f>
        <v>759.4</v>
      </c>
    </row>
    <row r="70" spans="1:14" x14ac:dyDescent="0.25">
      <c r="A70" s="3">
        <v>0</v>
      </c>
      <c r="B70">
        <f t="shared" ref="B70:G70" si="2">AVERAGE(B31:B35)</f>
        <v>3292.4</v>
      </c>
      <c r="C70">
        <f t="shared" si="2"/>
        <v>3047.4</v>
      </c>
      <c r="D70">
        <f t="shared" si="2"/>
        <v>7091.8</v>
      </c>
      <c r="E70">
        <f t="shared" si="2"/>
        <v>4673.3999999999996</v>
      </c>
      <c r="F70">
        <f t="shared" si="2"/>
        <v>756</v>
      </c>
      <c r="G70">
        <f t="shared" si="2"/>
        <v>933.8</v>
      </c>
      <c r="H70">
        <f>AVERAGE(H31:H35)</f>
        <v>859.2</v>
      </c>
      <c r="I70">
        <f>AVERAGE(I31:I35)</f>
        <v>746</v>
      </c>
    </row>
    <row r="71" spans="1:14" x14ac:dyDescent="0.25">
      <c r="A71" s="3">
        <v>-0.3</v>
      </c>
      <c r="B71">
        <f t="shared" ref="B71:G71" si="3">AVERAGE(B44:B48)</f>
        <v>3480.8</v>
      </c>
      <c r="C71">
        <f t="shared" si="3"/>
        <v>3331.6</v>
      </c>
      <c r="D71">
        <f t="shared" si="3"/>
        <v>5130.6000000000004</v>
      </c>
      <c r="E71">
        <f t="shared" si="3"/>
        <v>4836.3999999999996</v>
      </c>
      <c r="F71">
        <f t="shared" si="3"/>
        <v>743.4</v>
      </c>
      <c r="G71">
        <f t="shared" si="3"/>
        <v>962.8</v>
      </c>
      <c r="H71">
        <f>AVERAGE(H44:H48)</f>
        <v>916</v>
      </c>
      <c r="I71">
        <f>AVERAGE(I44:I48)</f>
        <v>671.2</v>
      </c>
    </row>
    <row r="72" spans="1:14" x14ac:dyDescent="0.25">
      <c r="A72" s="3">
        <v>-0.7</v>
      </c>
      <c r="B72">
        <f t="shared" ref="B72:G72" si="4">AVERAGE(B57:B61)</f>
        <v>3043.6</v>
      </c>
      <c r="C72">
        <f t="shared" si="4"/>
        <v>3007</v>
      </c>
      <c r="D72">
        <f t="shared" si="4"/>
        <v>7588.4</v>
      </c>
      <c r="E72">
        <f t="shared" si="4"/>
        <v>4473.3999999999996</v>
      </c>
      <c r="F72">
        <f t="shared" si="4"/>
        <v>743.6</v>
      </c>
      <c r="G72">
        <f t="shared" si="4"/>
        <v>940</v>
      </c>
      <c r="H72">
        <f>AVERAGE(H57:H61)</f>
        <v>670</v>
      </c>
      <c r="I72">
        <f>AVERAGE(I57:I61)</f>
        <v>599.6</v>
      </c>
    </row>
    <row r="73" spans="1:14" x14ac:dyDescent="0.25">
      <c r="J73" s="9"/>
      <c r="K73" s="1" t="s">
        <v>1</v>
      </c>
      <c r="L73" s="1" t="s">
        <v>0</v>
      </c>
      <c r="M73" s="2" t="s">
        <v>37</v>
      </c>
      <c r="N73" s="10" t="s">
        <v>38</v>
      </c>
    </row>
    <row r="74" spans="1:14" x14ac:dyDescent="0.25">
      <c r="J74" s="2">
        <v>0.7</v>
      </c>
      <c r="K74" s="12">
        <f>(G68 - F68) / G68</f>
        <v>0.17902311382468386</v>
      </c>
      <c r="L74" s="12">
        <f>(G68 - G68) / G68</f>
        <v>0</v>
      </c>
      <c r="M74" s="12">
        <f>(G68 - H68) / G68</f>
        <v>0.16572176188399476</v>
      </c>
      <c r="N74" s="12">
        <f>(G68 - I68) / G68</f>
        <v>0.44679459223724383</v>
      </c>
    </row>
    <row r="75" spans="1:14" x14ac:dyDescent="0.25">
      <c r="J75" s="3">
        <v>0.3</v>
      </c>
      <c r="K75" s="12">
        <f t="shared" ref="K75:K78" si="5">(G69 - F69) / G69</f>
        <v>0.28158148505303759</v>
      </c>
      <c r="L75" s="12">
        <f t="shared" ref="L75:L78" si="6">(G69 - G69) / G69</f>
        <v>0</v>
      </c>
      <c r="M75" s="12">
        <f t="shared" ref="M75:M78" si="7">(G69 - H69) / G69</f>
        <v>0.20405014464802315</v>
      </c>
      <c r="N75" s="12">
        <f t="shared" ref="N75:N78" si="8">(G69 - I69) / G69</f>
        <v>0.267695274831244</v>
      </c>
    </row>
    <row r="76" spans="1:14" x14ac:dyDescent="0.25">
      <c r="J76" s="3">
        <v>0</v>
      </c>
      <c r="K76" s="12">
        <f t="shared" si="5"/>
        <v>0.19040479760119935</v>
      </c>
      <c r="L76" s="12">
        <f t="shared" si="6"/>
        <v>0</v>
      </c>
      <c r="M76" s="12">
        <f t="shared" si="7"/>
        <v>7.9888627115013822E-2</v>
      </c>
      <c r="N76" s="12">
        <f t="shared" si="8"/>
        <v>0.20111372884986076</v>
      </c>
    </row>
    <row r="77" spans="1:14" x14ac:dyDescent="0.25">
      <c r="J77" s="3">
        <v>-0.3</v>
      </c>
      <c r="K77" s="12">
        <f t="shared" si="5"/>
        <v>0.22787702534275031</v>
      </c>
      <c r="L77" s="12">
        <f t="shared" si="6"/>
        <v>0</v>
      </c>
      <c r="M77" s="12">
        <f t="shared" si="7"/>
        <v>4.8608226007478141E-2</v>
      </c>
      <c r="N77" s="12">
        <f t="shared" si="8"/>
        <v>0.3028666389696717</v>
      </c>
    </row>
    <row r="78" spans="1:14" x14ac:dyDescent="0.25">
      <c r="J78" s="3">
        <v>-0.7</v>
      </c>
      <c r="K78" s="12">
        <f t="shared" si="5"/>
        <v>0.20893617021276592</v>
      </c>
      <c r="L78" s="12">
        <f t="shared" si="6"/>
        <v>0</v>
      </c>
      <c r="M78" s="12">
        <f t="shared" si="7"/>
        <v>0.28723404255319152</v>
      </c>
      <c r="N78" s="12">
        <f t="shared" si="8"/>
        <v>0.36212765957446807</v>
      </c>
    </row>
  </sheetData>
  <mergeCells count="12">
    <mergeCell ref="A66:G66"/>
    <mergeCell ref="A2:G2"/>
    <mergeCell ref="A3:G3"/>
    <mergeCell ref="A15:G15"/>
    <mergeCell ref="A16:G16"/>
    <mergeCell ref="A28:G28"/>
    <mergeCell ref="A29:G29"/>
    <mergeCell ref="A41:G41"/>
    <mergeCell ref="A42:G42"/>
    <mergeCell ref="A54:G54"/>
    <mergeCell ref="A55:G55"/>
    <mergeCell ref="A65:G6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topLeftCell="A56" zoomScale="70" zoomScaleNormal="70" workbookViewId="0">
      <selection activeCell="J80" sqref="J80"/>
    </sheetView>
  </sheetViews>
  <sheetFormatPr defaultRowHeight="15" x14ac:dyDescent="0.25"/>
  <cols>
    <col min="2" max="2" width="15.85546875" bestFit="1" customWidth="1"/>
    <col min="3" max="3" width="24" bestFit="1" customWidth="1"/>
    <col min="4" max="4" width="38.28515625" bestFit="1" customWidth="1"/>
    <col min="5" max="5" width="23.570312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18</v>
      </c>
      <c r="B1" s="14"/>
      <c r="C1" s="14"/>
      <c r="D1" s="14"/>
      <c r="E1" s="14"/>
      <c r="F1" s="14"/>
      <c r="G1" s="14"/>
    </row>
    <row r="2" spans="1:9" x14ac:dyDescent="0.25">
      <c r="A2" s="16" t="s">
        <v>15</v>
      </c>
      <c r="B2" s="17"/>
      <c r="C2" s="17"/>
      <c r="D2" s="17"/>
      <c r="E2" s="17"/>
      <c r="F2" s="17"/>
      <c r="G2" s="18"/>
    </row>
    <row r="3" spans="1:9" ht="45" x14ac:dyDescent="0.25">
      <c r="A3" s="7"/>
      <c r="B3" s="1" t="s">
        <v>5</v>
      </c>
      <c r="C3" s="6" t="s">
        <v>6</v>
      </c>
      <c r="D3" s="1" t="s">
        <v>7</v>
      </c>
      <c r="E3" s="6" t="s">
        <v>8</v>
      </c>
      <c r="F3" s="1" t="s">
        <v>1</v>
      </c>
      <c r="G3" s="1" t="s">
        <v>0</v>
      </c>
      <c r="H3" s="2" t="s">
        <v>26</v>
      </c>
      <c r="I3" s="10" t="s">
        <v>34</v>
      </c>
    </row>
    <row r="4" spans="1:9" x14ac:dyDescent="0.25">
      <c r="A4" s="1" t="s">
        <v>9</v>
      </c>
      <c r="B4">
        <v>31.449000000000002</v>
      </c>
      <c r="C4">
        <v>25.231999999999999</v>
      </c>
      <c r="D4">
        <v>2.286</v>
      </c>
      <c r="E4">
        <v>1.27</v>
      </c>
      <c r="F4">
        <v>2.2949999999999999</v>
      </c>
      <c r="G4">
        <v>1.244</v>
      </c>
      <c r="H4">
        <v>1.921</v>
      </c>
      <c r="I4">
        <v>2.08</v>
      </c>
    </row>
    <row r="5" spans="1:9" x14ac:dyDescent="0.25">
      <c r="A5" s="1" t="s">
        <v>10</v>
      </c>
      <c r="B5">
        <v>30.937000000000001</v>
      </c>
      <c r="C5">
        <v>28.866</v>
      </c>
      <c r="D5">
        <v>2.383</v>
      </c>
      <c r="E5">
        <v>1.171</v>
      </c>
      <c r="F5">
        <v>1.569</v>
      </c>
      <c r="G5">
        <v>1.5449999999999999</v>
      </c>
      <c r="H5">
        <v>2.0499999999999998</v>
      </c>
      <c r="I5">
        <v>2.29</v>
      </c>
    </row>
    <row r="6" spans="1:9" x14ac:dyDescent="0.25">
      <c r="A6" s="1" t="s">
        <v>11</v>
      </c>
      <c r="B6">
        <v>29.626000000000001</v>
      </c>
      <c r="C6">
        <v>27.777999999999999</v>
      </c>
      <c r="D6">
        <v>6.4290000000000003</v>
      </c>
      <c r="E6">
        <v>1.274</v>
      </c>
      <c r="F6">
        <v>1.573</v>
      </c>
      <c r="G6">
        <v>1.548</v>
      </c>
      <c r="H6">
        <v>2.1280000000000001</v>
      </c>
      <c r="I6">
        <v>2.1680000000000001</v>
      </c>
    </row>
    <row r="7" spans="1:9" x14ac:dyDescent="0.25">
      <c r="A7" s="1" t="s">
        <v>12</v>
      </c>
      <c r="B7">
        <v>28.664000000000001</v>
      </c>
      <c r="C7">
        <v>28.257000000000001</v>
      </c>
      <c r="D7">
        <v>2.73</v>
      </c>
      <c r="E7">
        <v>1.2150000000000001</v>
      </c>
      <c r="F7">
        <v>1.7410000000000001</v>
      </c>
      <c r="G7">
        <v>1.895</v>
      </c>
      <c r="H7">
        <v>2.085</v>
      </c>
      <c r="I7">
        <v>2.2050000000000001</v>
      </c>
    </row>
    <row r="8" spans="1:9" x14ac:dyDescent="0.25">
      <c r="A8" s="1" t="s">
        <v>13</v>
      </c>
      <c r="B8">
        <v>27.984000000000002</v>
      </c>
      <c r="C8">
        <v>27.231000000000002</v>
      </c>
      <c r="D8">
        <v>2.46</v>
      </c>
      <c r="E8">
        <v>1.256</v>
      </c>
      <c r="F8">
        <v>1.6479999999999999</v>
      </c>
      <c r="G8">
        <v>1.482</v>
      </c>
      <c r="H8">
        <v>2.0619999999999998</v>
      </c>
      <c r="I8">
        <v>1.9370000000000001</v>
      </c>
    </row>
    <row r="13" spans="1:9" x14ac:dyDescent="0.25">
      <c r="A13" s="14" t="s">
        <v>19</v>
      </c>
      <c r="B13" s="14"/>
      <c r="C13" s="14"/>
      <c r="D13" s="14"/>
      <c r="E13" s="14"/>
      <c r="F13" s="14"/>
      <c r="G13" s="14"/>
    </row>
    <row r="14" spans="1:9" x14ac:dyDescent="0.25">
      <c r="A14" s="16" t="s">
        <v>15</v>
      </c>
      <c r="B14" s="17"/>
      <c r="C14" s="17"/>
      <c r="D14" s="17"/>
      <c r="E14" s="17"/>
      <c r="F14" s="17"/>
      <c r="G14" s="18"/>
    </row>
    <row r="15" spans="1:9" ht="45" x14ac:dyDescent="0.25">
      <c r="A15" s="7"/>
      <c r="B15" s="1" t="s">
        <v>5</v>
      </c>
      <c r="C15" s="6" t="s">
        <v>6</v>
      </c>
      <c r="D15" s="1" t="s">
        <v>7</v>
      </c>
      <c r="E15" s="6" t="s">
        <v>8</v>
      </c>
      <c r="F15" s="1" t="s">
        <v>1</v>
      </c>
      <c r="G15" s="1" t="s">
        <v>0</v>
      </c>
      <c r="H15" s="2" t="s">
        <v>26</v>
      </c>
      <c r="I15" s="10" t="s">
        <v>34</v>
      </c>
    </row>
    <row r="16" spans="1:9" x14ac:dyDescent="0.25">
      <c r="A16" s="1" t="s">
        <v>9</v>
      </c>
      <c r="B16">
        <v>33.372</v>
      </c>
      <c r="C16">
        <v>28.873000000000001</v>
      </c>
      <c r="D16">
        <v>4.2450000000000001</v>
      </c>
      <c r="E16">
        <v>1.0960000000000001</v>
      </c>
      <c r="F16">
        <v>1.27</v>
      </c>
      <c r="G16">
        <v>1.2050000000000001</v>
      </c>
      <c r="H16">
        <v>2.34</v>
      </c>
      <c r="I16">
        <v>2.1120000000000001</v>
      </c>
    </row>
    <row r="17" spans="1:9" x14ac:dyDescent="0.25">
      <c r="A17" s="1" t="s">
        <v>10</v>
      </c>
      <c r="B17">
        <v>27.506</v>
      </c>
      <c r="C17">
        <v>29.402000000000001</v>
      </c>
      <c r="D17">
        <v>2.7469999999999999</v>
      </c>
      <c r="E17">
        <v>1.413</v>
      </c>
      <c r="F17">
        <v>1.5980000000000001</v>
      </c>
      <c r="G17">
        <v>1.419</v>
      </c>
      <c r="H17">
        <v>2.2959999999999998</v>
      </c>
      <c r="I17">
        <v>2.4900000000000002</v>
      </c>
    </row>
    <row r="18" spans="1:9" x14ac:dyDescent="0.25">
      <c r="A18" s="1" t="s">
        <v>11</v>
      </c>
      <c r="B18">
        <v>25.67</v>
      </c>
      <c r="C18">
        <v>26.16</v>
      </c>
      <c r="D18">
        <v>4.9569999999999999</v>
      </c>
      <c r="E18">
        <v>1.1080000000000001</v>
      </c>
      <c r="F18">
        <v>1.6859999999999999</v>
      </c>
      <c r="G18">
        <v>1.4910000000000001</v>
      </c>
      <c r="H18">
        <v>2.3959999999999999</v>
      </c>
      <c r="I18">
        <v>2.37</v>
      </c>
    </row>
    <row r="19" spans="1:9" x14ac:dyDescent="0.25">
      <c r="A19" s="1" t="s">
        <v>12</v>
      </c>
      <c r="B19">
        <v>32.276000000000003</v>
      </c>
      <c r="C19">
        <v>31.315000000000001</v>
      </c>
      <c r="D19">
        <v>3.9039999999999999</v>
      </c>
      <c r="E19">
        <v>1.3939999999999999</v>
      </c>
      <c r="F19">
        <v>1.71</v>
      </c>
      <c r="G19">
        <v>1.5129999999999999</v>
      </c>
      <c r="H19">
        <v>2.673</v>
      </c>
      <c r="I19">
        <v>2.496</v>
      </c>
    </row>
    <row r="20" spans="1:9" x14ac:dyDescent="0.25">
      <c r="A20" s="1" t="s">
        <v>13</v>
      </c>
      <c r="B20">
        <v>25.640999999999998</v>
      </c>
      <c r="C20">
        <v>28.637</v>
      </c>
      <c r="D20">
        <v>4.2309999999999999</v>
      </c>
      <c r="E20">
        <v>1.173</v>
      </c>
      <c r="F20">
        <v>1.8109999999999999</v>
      </c>
      <c r="G20">
        <v>1.4950000000000001</v>
      </c>
      <c r="H20">
        <v>2.6179999999999999</v>
      </c>
      <c r="I20">
        <v>2.2959999999999998</v>
      </c>
    </row>
    <row r="24" spans="1:9" x14ac:dyDescent="0.25">
      <c r="A24" s="14" t="s">
        <v>20</v>
      </c>
      <c r="B24" s="14"/>
      <c r="C24" s="14"/>
      <c r="D24" s="14"/>
      <c r="E24" s="14"/>
      <c r="F24" s="14"/>
      <c r="G24" s="14"/>
    </row>
    <row r="25" spans="1:9" x14ac:dyDescent="0.25">
      <c r="A25" s="16" t="s">
        <v>15</v>
      </c>
      <c r="B25" s="17"/>
      <c r="C25" s="17"/>
      <c r="D25" s="17"/>
      <c r="E25" s="17"/>
      <c r="F25" s="17"/>
      <c r="G25" s="18"/>
    </row>
    <row r="26" spans="1:9" ht="45" x14ac:dyDescent="0.25">
      <c r="A26" s="7"/>
      <c r="B26" s="1" t="s">
        <v>5</v>
      </c>
      <c r="C26" s="6" t="s">
        <v>6</v>
      </c>
      <c r="D26" s="1" t="s">
        <v>7</v>
      </c>
      <c r="E26" s="6" t="s">
        <v>8</v>
      </c>
      <c r="F26" s="1" t="s">
        <v>1</v>
      </c>
      <c r="G26" s="1" t="s">
        <v>0</v>
      </c>
      <c r="H26" s="2" t="s">
        <v>26</v>
      </c>
      <c r="I26" s="10" t="s">
        <v>34</v>
      </c>
    </row>
    <row r="27" spans="1:9" x14ac:dyDescent="0.25">
      <c r="A27" s="1" t="s">
        <v>9</v>
      </c>
      <c r="B27">
        <v>32.566000000000003</v>
      </c>
      <c r="C27">
        <v>32.759</v>
      </c>
      <c r="D27">
        <v>4.0049999999999999</v>
      </c>
      <c r="E27">
        <v>1.3420000000000001</v>
      </c>
      <c r="F27">
        <v>1.865</v>
      </c>
      <c r="G27">
        <v>1.173</v>
      </c>
      <c r="H27">
        <v>2.1320000000000001</v>
      </c>
      <c r="I27">
        <v>2.3639999999999999</v>
      </c>
    </row>
    <row r="28" spans="1:9" x14ac:dyDescent="0.25">
      <c r="A28" s="1" t="s">
        <v>10</v>
      </c>
      <c r="B28">
        <v>34.100999999999999</v>
      </c>
      <c r="C28">
        <v>30.863</v>
      </c>
      <c r="D28">
        <v>3.835</v>
      </c>
      <c r="E28">
        <v>1.454</v>
      </c>
      <c r="F28">
        <v>1.716</v>
      </c>
      <c r="G28">
        <v>1.579</v>
      </c>
      <c r="H28">
        <v>2.359</v>
      </c>
      <c r="I28">
        <v>2.6030000000000002</v>
      </c>
    </row>
    <row r="29" spans="1:9" x14ac:dyDescent="0.25">
      <c r="A29" s="1" t="s">
        <v>11</v>
      </c>
      <c r="B29">
        <v>35.353000000000002</v>
      </c>
      <c r="C29">
        <v>37.700000000000003</v>
      </c>
      <c r="D29">
        <v>3.1739999999999999</v>
      </c>
      <c r="E29">
        <v>1.1659999999999999</v>
      </c>
      <c r="F29">
        <v>1.998</v>
      </c>
      <c r="G29">
        <v>1.6779999999999999</v>
      </c>
      <c r="H29">
        <v>2.5329999999999999</v>
      </c>
      <c r="I29">
        <v>2.6619999999999999</v>
      </c>
    </row>
    <row r="30" spans="1:9" x14ac:dyDescent="0.25">
      <c r="A30" s="1" t="s">
        <v>12</v>
      </c>
      <c r="B30">
        <v>38.859000000000002</v>
      </c>
      <c r="C30">
        <v>28.952000000000002</v>
      </c>
      <c r="D30">
        <v>2.9950000000000001</v>
      </c>
      <c r="E30">
        <v>1.4259999999999999</v>
      </c>
      <c r="F30">
        <v>1.591</v>
      </c>
      <c r="G30">
        <v>1.7090000000000001</v>
      </c>
      <c r="H30">
        <v>2.3849999999999998</v>
      </c>
      <c r="I30">
        <v>2.5870000000000002</v>
      </c>
    </row>
    <row r="31" spans="1:9" x14ac:dyDescent="0.25">
      <c r="A31" s="1" t="s">
        <v>13</v>
      </c>
      <c r="B31">
        <v>35.360999999999997</v>
      </c>
      <c r="C31">
        <v>33.694000000000003</v>
      </c>
      <c r="D31">
        <v>3.343</v>
      </c>
      <c r="E31">
        <v>1.3080000000000001</v>
      </c>
      <c r="F31">
        <v>1.895</v>
      </c>
      <c r="G31">
        <v>1.4370000000000001</v>
      </c>
      <c r="H31">
        <v>2.1850000000000001</v>
      </c>
      <c r="I31">
        <v>2.5720000000000001</v>
      </c>
    </row>
    <row r="35" spans="1:9" x14ac:dyDescent="0.25">
      <c r="A35" s="14" t="s">
        <v>21</v>
      </c>
      <c r="B35" s="14"/>
      <c r="C35" s="14"/>
      <c r="D35" s="14"/>
      <c r="E35" s="14"/>
      <c r="F35" s="14"/>
      <c r="G35" s="14"/>
    </row>
    <row r="36" spans="1:9" x14ac:dyDescent="0.25">
      <c r="A36" s="16" t="s">
        <v>15</v>
      </c>
      <c r="B36" s="17"/>
      <c r="C36" s="17"/>
      <c r="D36" s="17"/>
      <c r="E36" s="17"/>
      <c r="F36" s="17"/>
      <c r="G36" s="18"/>
    </row>
    <row r="37" spans="1:9" ht="45" x14ac:dyDescent="0.25">
      <c r="A37" s="7"/>
      <c r="B37" s="1" t="s">
        <v>5</v>
      </c>
      <c r="C37" s="6" t="s">
        <v>6</v>
      </c>
      <c r="D37" s="1" t="s">
        <v>7</v>
      </c>
      <c r="E37" s="6" t="s">
        <v>8</v>
      </c>
      <c r="F37" s="1" t="s">
        <v>1</v>
      </c>
      <c r="G37" s="1" t="s">
        <v>0</v>
      </c>
      <c r="H37" s="2" t="s">
        <v>26</v>
      </c>
      <c r="I37" s="10" t="s">
        <v>34</v>
      </c>
    </row>
    <row r="38" spans="1:9" x14ac:dyDescent="0.25">
      <c r="A38" s="1" t="s">
        <v>9</v>
      </c>
      <c r="B38">
        <v>30.933</v>
      </c>
      <c r="C38">
        <v>28.613</v>
      </c>
      <c r="D38">
        <v>12.901</v>
      </c>
      <c r="E38">
        <v>9.9610000000000003</v>
      </c>
      <c r="F38">
        <v>1.3740000000000001</v>
      </c>
      <c r="G38">
        <v>1.224</v>
      </c>
      <c r="H38">
        <v>3.0339999999999998</v>
      </c>
      <c r="I38">
        <v>2.0739999999999998</v>
      </c>
    </row>
    <row r="39" spans="1:9" x14ac:dyDescent="0.25">
      <c r="A39" s="1" t="s">
        <v>10</v>
      </c>
      <c r="B39">
        <v>27.556999999999999</v>
      </c>
      <c r="C39">
        <v>27.376000000000001</v>
      </c>
      <c r="D39">
        <v>11.621</v>
      </c>
      <c r="E39">
        <v>10.269</v>
      </c>
      <c r="F39">
        <v>1.552</v>
      </c>
      <c r="G39">
        <v>1.6020000000000001</v>
      </c>
      <c r="H39">
        <v>3.649</v>
      </c>
      <c r="I39">
        <v>2.956</v>
      </c>
    </row>
    <row r="40" spans="1:9" x14ac:dyDescent="0.25">
      <c r="A40" s="1" t="s">
        <v>11</v>
      </c>
      <c r="B40">
        <v>25.068999999999999</v>
      </c>
      <c r="C40">
        <v>26.045999999999999</v>
      </c>
      <c r="D40">
        <v>12.388999999999999</v>
      </c>
      <c r="E40">
        <v>10.313000000000001</v>
      </c>
      <c r="F40">
        <v>1.6220000000000001</v>
      </c>
      <c r="G40">
        <v>1.4930000000000001</v>
      </c>
      <c r="H40">
        <v>3.03</v>
      </c>
      <c r="I40">
        <v>2.976</v>
      </c>
    </row>
    <row r="41" spans="1:9" x14ac:dyDescent="0.25">
      <c r="A41" s="1" t="s">
        <v>12</v>
      </c>
      <c r="B41">
        <v>25.222999999999999</v>
      </c>
      <c r="C41">
        <v>23.86</v>
      </c>
      <c r="D41">
        <v>15.494</v>
      </c>
      <c r="E41">
        <v>9.7759999999999998</v>
      </c>
      <c r="F41">
        <v>1.5189999999999999</v>
      </c>
      <c r="G41">
        <v>1.579</v>
      </c>
      <c r="H41">
        <v>3.58</v>
      </c>
      <c r="I41">
        <v>3.5249999999999999</v>
      </c>
    </row>
    <row r="42" spans="1:9" x14ac:dyDescent="0.25">
      <c r="A42" s="1" t="s">
        <v>13</v>
      </c>
      <c r="B42">
        <v>26.837</v>
      </c>
      <c r="C42">
        <v>26.289000000000001</v>
      </c>
      <c r="D42">
        <v>11.911</v>
      </c>
      <c r="E42">
        <v>10.496</v>
      </c>
      <c r="F42">
        <v>1.6759999999999999</v>
      </c>
      <c r="G42">
        <v>1.6739999999999999</v>
      </c>
      <c r="H42">
        <v>3.056</v>
      </c>
      <c r="I42">
        <v>2.887</v>
      </c>
    </row>
    <row r="47" spans="1:9" x14ac:dyDescent="0.25">
      <c r="A47" s="14" t="s">
        <v>22</v>
      </c>
      <c r="B47" s="14"/>
      <c r="C47" s="14"/>
      <c r="D47" s="14"/>
      <c r="E47" s="14"/>
      <c r="F47" s="14"/>
      <c r="G47" s="14"/>
    </row>
    <row r="48" spans="1:9" x14ac:dyDescent="0.25">
      <c r="A48" s="16" t="s">
        <v>15</v>
      </c>
      <c r="B48" s="17"/>
      <c r="C48" s="17"/>
      <c r="D48" s="17"/>
      <c r="E48" s="17"/>
      <c r="F48" s="17"/>
      <c r="G48" s="18"/>
    </row>
    <row r="49" spans="1:9" ht="45" x14ac:dyDescent="0.25">
      <c r="A49" s="7"/>
      <c r="B49" s="1" t="s">
        <v>5</v>
      </c>
      <c r="C49" s="6" t="s">
        <v>6</v>
      </c>
      <c r="D49" s="1" t="s">
        <v>7</v>
      </c>
      <c r="E49" s="6" t="s">
        <v>8</v>
      </c>
      <c r="F49" s="1" t="s">
        <v>1</v>
      </c>
      <c r="G49" s="1" t="s">
        <v>0</v>
      </c>
      <c r="H49" s="2" t="s">
        <v>26</v>
      </c>
      <c r="I49" s="10" t="s">
        <v>34</v>
      </c>
    </row>
    <row r="50" spans="1:9" x14ac:dyDescent="0.25">
      <c r="A50" s="1" t="s">
        <v>9</v>
      </c>
      <c r="B50">
        <v>34.598999999999997</v>
      </c>
      <c r="C50">
        <v>26.733000000000001</v>
      </c>
      <c r="D50">
        <v>13.032</v>
      </c>
      <c r="E50">
        <v>8.7739999999999991</v>
      </c>
      <c r="F50">
        <v>1.278</v>
      </c>
      <c r="G50">
        <v>2.1080000000000001</v>
      </c>
      <c r="H50">
        <v>3.2610000000000001</v>
      </c>
      <c r="I50">
        <v>2.948</v>
      </c>
    </row>
    <row r="51" spans="1:9" x14ac:dyDescent="0.25">
      <c r="A51" s="1" t="s">
        <v>10</v>
      </c>
      <c r="B51">
        <v>34.578000000000003</v>
      </c>
      <c r="C51">
        <v>27.57</v>
      </c>
      <c r="D51">
        <v>13.204000000000001</v>
      </c>
      <c r="E51">
        <v>9.5030000000000001</v>
      </c>
      <c r="F51">
        <v>1.6910000000000001</v>
      </c>
      <c r="G51">
        <v>1.643</v>
      </c>
      <c r="H51">
        <v>3.016</v>
      </c>
      <c r="I51">
        <v>3.3330000000000002</v>
      </c>
    </row>
    <row r="52" spans="1:9" x14ac:dyDescent="0.25">
      <c r="A52" s="1" t="s">
        <v>11</v>
      </c>
      <c r="B52">
        <v>44.133000000000003</v>
      </c>
      <c r="C52">
        <v>29.175000000000001</v>
      </c>
      <c r="D52">
        <v>12.369</v>
      </c>
      <c r="E52">
        <v>9.891</v>
      </c>
      <c r="F52">
        <v>1.702</v>
      </c>
      <c r="G52">
        <v>1.71</v>
      </c>
      <c r="H52">
        <v>3.15</v>
      </c>
      <c r="I52">
        <v>3.0720000000000001</v>
      </c>
    </row>
    <row r="53" spans="1:9" x14ac:dyDescent="0.25">
      <c r="A53" s="1" t="s">
        <v>12</v>
      </c>
      <c r="B53">
        <v>44.283999999999999</v>
      </c>
      <c r="C53">
        <v>24.873000000000001</v>
      </c>
      <c r="D53">
        <v>11.976000000000001</v>
      </c>
      <c r="E53">
        <v>9.4130000000000003</v>
      </c>
      <c r="F53">
        <v>1.778</v>
      </c>
      <c r="G53">
        <v>1.5740000000000001</v>
      </c>
      <c r="H53">
        <v>3.524</v>
      </c>
      <c r="I53">
        <v>3.6150000000000002</v>
      </c>
    </row>
    <row r="54" spans="1:9" x14ac:dyDescent="0.25">
      <c r="A54" s="1" t="s">
        <v>13</v>
      </c>
      <c r="B54">
        <v>35.954999999999998</v>
      </c>
      <c r="C54">
        <v>25.353999999999999</v>
      </c>
      <c r="D54">
        <v>12.542</v>
      </c>
      <c r="E54">
        <v>8.8070000000000004</v>
      </c>
      <c r="F54">
        <v>1.776</v>
      </c>
      <c r="G54">
        <v>1.5980000000000001</v>
      </c>
      <c r="H54">
        <v>3.5089999999999999</v>
      </c>
      <c r="I54">
        <v>3.4369999999999998</v>
      </c>
    </row>
    <row r="59" spans="1:9" x14ac:dyDescent="0.25">
      <c r="A59" s="15" t="s">
        <v>23</v>
      </c>
      <c r="B59" s="15"/>
      <c r="C59" s="15"/>
      <c r="D59" s="15"/>
      <c r="E59" s="15"/>
      <c r="F59" s="15"/>
      <c r="G59" s="15"/>
    </row>
    <row r="60" spans="1:9" x14ac:dyDescent="0.25">
      <c r="A60" s="13" t="s">
        <v>24</v>
      </c>
      <c r="B60" s="13"/>
      <c r="C60" s="13"/>
      <c r="D60" s="13"/>
      <c r="E60" s="13"/>
      <c r="F60" s="13"/>
      <c r="G60" s="13"/>
    </row>
    <row r="61" spans="1:9" ht="45" x14ac:dyDescent="0.25">
      <c r="A61" s="9"/>
      <c r="B61" s="1" t="s">
        <v>5</v>
      </c>
      <c r="C61" s="6" t="s">
        <v>6</v>
      </c>
      <c r="D61" s="1" t="s">
        <v>7</v>
      </c>
      <c r="E61" s="6" t="s">
        <v>8</v>
      </c>
      <c r="F61" s="1" t="s">
        <v>1</v>
      </c>
      <c r="G61" s="1" t="s">
        <v>0</v>
      </c>
      <c r="H61" s="2" t="s">
        <v>37</v>
      </c>
      <c r="I61" s="10" t="s">
        <v>38</v>
      </c>
    </row>
    <row r="62" spans="1:9" x14ac:dyDescent="0.25">
      <c r="A62" s="2">
        <v>0.7</v>
      </c>
      <c r="B62">
        <f t="shared" ref="B62:G62" si="0">AVERAGE(B4:B8)</f>
        <v>29.731999999999999</v>
      </c>
      <c r="C62">
        <f t="shared" si="0"/>
        <v>27.472799999999999</v>
      </c>
      <c r="D62">
        <f t="shared" si="0"/>
        <v>3.2576000000000001</v>
      </c>
      <c r="E62">
        <f t="shared" si="0"/>
        <v>1.2372000000000001</v>
      </c>
      <c r="F62">
        <f t="shared" si="0"/>
        <v>1.7651999999999997</v>
      </c>
      <c r="G62">
        <f t="shared" si="0"/>
        <v>1.5427999999999999</v>
      </c>
      <c r="H62">
        <f>AVERAGE(H4:H8)</f>
        <v>2.0491999999999999</v>
      </c>
      <c r="I62">
        <f>AVERAGE(I4:I8)</f>
        <v>2.1360000000000001</v>
      </c>
    </row>
    <row r="63" spans="1:9" x14ac:dyDescent="0.25">
      <c r="A63" s="3">
        <v>0.3</v>
      </c>
      <c r="B63">
        <f t="shared" ref="B63:G63" si="1">AVERAGE(B16:B20)</f>
        <v>28.893000000000001</v>
      </c>
      <c r="C63">
        <f t="shared" si="1"/>
        <v>28.877400000000002</v>
      </c>
      <c r="D63">
        <f t="shared" si="1"/>
        <v>4.0167999999999999</v>
      </c>
      <c r="E63">
        <f t="shared" si="1"/>
        <v>1.2368000000000001</v>
      </c>
      <c r="F63">
        <f t="shared" si="1"/>
        <v>1.6149999999999998</v>
      </c>
      <c r="G63">
        <f t="shared" si="1"/>
        <v>1.4246000000000001</v>
      </c>
      <c r="H63">
        <f>AVERAGE(H16:H20)</f>
        <v>2.4645999999999999</v>
      </c>
      <c r="I63">
        <f>AVERAGE(I16:I20)</f>
        <v>2.3527999999999998</v>
      </c>
    </row>
    <row r="64" spans="1:9" x14ac:dyDescent="0.25">
      <c r="A64" s="3">
        <v>0</v>
      </c>
      <c r="B64">
        <f t="shared" ref="B64:G64" si="2">AVERAGE(B25:B29)</f>
        <v>34.006666666666668</v>
      </c>
      <c r="C64">
        <f t="shared" si="2"/>
        <v>33.774000000000001</v>
      </c>
      <c r="D64">
        <f t="shared" si="2"/>
        <v>3.6713333333333331</v>
      </c>
      <c r="E64">
        <f t="shared" si="2"/>
        <v>1.3206666666666667</v>
      </c>
      <c r="F64">
        <f t="shared" si="2"/>
        <v>1.8596666666666666</v>
      </c>
      <c r="G64">
        <f t="shared" si="2"/>
        <v>1.4766666666666666</v>
      </c>
      <c r="H64">
        <f>AVERAGE(H27:H31)</f>
        <v>2.3188</v>
      </c>
      <c r="I64">
        <f>AVERAGE(I27:I31)</f>
        <v>2.5575999999999999</v>
      </c>
    </row>
    <row r="65" spans="1:9" x14ac:dyDescent="0.25">
      <c r="A65" s="3">
        <v>-0.3</v>
      </c>
      <c r="B65">
        <f t="shared" ref="B65:G65" si="3">AVERAGE(B38:B42)</f>
        <v>27.123799999999999</v>
      </c>
      <c r="C65">
        <f t="shared" si="3"/>
        <v>26.436799999999998</v>
      </c>
      <c r="D65">
        <f t="shared" si="3"/>
        <v>12.863200000000001</v>
      </c>
      <c r="E65">
        <f t="shared" si="3"/>
        <v>10.163</v>
      </c>
      <c r="F65">
        <f t="shared" si="3"/>
        <v>1.5486</v>
      </c>
      <c r="G65">
        <f t="shared" si="3"/>
        <v>1.5143999999999997</v>
      </c>
      <c r="H65">
        <f>AVERAGE(H38:H42)</f>
        <v>3.2698</v>
      </c>
      <c r="I65">
        <f>AVERAGE(I38:I42)</f>
        <v>2.8836000000000004</v>
      </c>
    </row>
    <row r="66" spans="1:9" x14ac:dyDescent="0.25">
      <c r="A66" s="3">
        <v>-0.7</v>
      </c>
      <c r="B66">
        <f t="shared" ref="B66:G66" si="4">AVERAGE(B50:B54)</f>
        <v>38.709799999999994</v>
      </c>
      <c r="C66">
        <f t="shared" si="4"/>
        <v>26.740999999999996</v>
      </c>
      <c r="D66">
        <f t="shared" si="4"/>
        <v>12.624600000000001</v>
      </c>
      <c r="E66">
        <f t="shared" si="4"/>
        <v>9.2776000000000014</v>
      </c>
      <c r="F66">
        <f t="shared" si="4"/>
        <v>1.645</v>
      </c>
      <c r="G66">
        <f t="shared" si="4"/>
        <v>1.7266000000000001</v>
      </c>
      <c r="H66">
        <f>AVERAGE(H50:H54)</f>
        <v>3.2920000000000003</v>
      </c>
      <c r="I66">
        <f>AVERAGE(I38:I42)</f>
        <v>2.8836000000000004</v>
      </c>
    </row>
  </sheetData>
  <mergeCells count="12">
    <mergeCell ref="A60:G60"/>
    <mergeCell ref="A1:G1"/>
    <mergeCell ref="A2:G2"/>
    <mergeCell ref="A13:G13"/>
    <mergeCell ref="A14:G14"/>
    <mergeCell ref="A24:G24"/>
    <mergeCell ref="A25:G25"/>
    <mergeCell ref="A35:G35"/>
    <mergeCell ref="A36:G36"/>
    <mergeCell ref="A47:G47"/>
    <mergeCell ref="A48:G48"/>
    <mergeCell ref="A59:G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5"/>
  <sheetViews>
    <sheetView topLeftCell="A94" zoomScale="70" zoomScaleNormal="70" workbookViewId="0">
      <selection activeCell="I107" sqref="I107"/>
    </sheetView>
  </sheetViews>
  <sheetFormatPr defaultRowHeight="15" x14ac:dyDescent="0.25"/>
  <cols>
    <col min="2" max="2" width="15.85546875" bestFit="1" customWidth="1"/>
    <col min="3" max="3" width="24" bestFit="1" customWidth="1"/>
    <col min="4" max="4" width="30.28515625" customWidth="1"/>
    <col min="5" max="5" width="38.28515625" bestFit="1" customWidth="1"/>
    <col min="6" max="6" width="23.285156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18</v>
      </c>
      <c r="B1" s="14"/>
      <c r="C1" s="14"/>
      <c r="D1" s="14"/>
      <c r="E1" s="14"/>
      <c r="F1" s="14"/>
      <c r="G1" s="14"/>
    </row>
    <row r="2" spans="1:9" x14ac:dyDescent="0.25">
      <c r="A2" s="13" t="s">
        <v>16</v>
      </c>
      <c r="B2" s="13"/>
      <c r="C2" s="13"/>
      <c r="D2" s="13"/>
      <c r="E2" s="13"/>
      <c r="F2" s="13"/>
      <c r="G2" s="13"/>
    </row>
    <row r="3" spans="1:9" ht="30" x14ac:dyDescent="0.25">
      <c r="A3" s="5"/>
      <c r="B3" s="1" t="s">
        <v>5</v>
      </c>
      <c r="C3" s="6" t="s">
        <v>6</v>
      </c>
      <c r="D3" s="6" t="s">
        <v>7</v>
      </c>
      <c r="E3" s="6" t="s">
        <v>8</v>
      </c>
      <c r="F3" s="1" t="s">
        <v>1</v>
      </c>
      <c r="G3" s="1" t="s">
        <v>0</v>
      </c>
      <c r="H3" s="2" t="s">
        <v>26</v>
      </c>
      <c r="I3" s="10" t="s">
        <v>34</v>
      </c>
    </row>
    <row r="4" spans="1:9" x14ac:dyDescent="0.25">
      <c r="A4" s="1" t="s">
        <v>9</v>
      </c>
      <c r="B4">
        <v>0</v>
      </c>
      <c r="C4">
        <v>0</v>
      </c>
      <c r="D4">
        <v>0</v>
      </c>
      <c r="E4">
        <v>0</v>
      </c>
      <c r="F4">
        <v>0.49513000000000001</v>
      </c>
      <c r="G4">
        <v>0.51400000000000001</v>
      </c>
      <c r="H4">
        <v>0</v>
      </c>
      <c r="I4">
        <v>0.1</v>
      </c>
    </row>
    <row r="5" spans="1:9" x14ac:dyDescent="0.25">
      <c r="A5" s="1" t="s">
        <v>10</v>
      </c>
      <c r="B5">
        <v>0</v>
      </c>
      <c r="C5">
        <v>0</v>
      </c>
      <c r="D5">
        <v>0</v>
      </c>
      <c r="E5">
        <v>0</v>
      </c>
      <c r="F5">
        <v>0.497</v>
      </c>
      <c r="G5">
        <v>0.51400000000000001</v>
      </c>
      <c r="H5">
        <v>0</v>
      </c>
      <c r="I5">
        <v>0.1</v>
      </c>
    </row>
    <row r="6" spans="1:9" x14ac:dyDescent="0.25">
      <c r="A6" s="1" t="s">
        <v>11</v>
      </c>
      <c r="B6">
        <v>0</v>
      </c>
      <c r="C6">
        <v>0</v>
      </c>
      <c r="D6">
        <v>0</v>
      </c>
      <c r="E6">
        <v>0</v>
      </c>
      <c r="F6">
        <v>0.47899999999999998</v>
      </c>
      <c r="G6">
        <v>0.51400000000000001</v>
      </c>
      <c r="H6">
        <v>0</v>
      </c>
      <c r="I6">
        <v>0.1</v>
      </c>
    </row>
    <row r="7" spans="1:9" x14ac:dyDescent="0.25">
      <c r="A7" s="1" t="s">
        <v>12</v>
      </c>
      <c r="B7">
        <v>0</v>
      </c>
      <c r="C7">
        <v>0</v>
      </c>
      <c r="D7">
        <v>0</v>
      </c>
      <c r="E7">
        <v>0</v>
      </c>
      <c r="F7">
        <v>0.48599999999999999</v>
      </c>
      <c r="G7">
        <v>0.51500000000000001</v>
      </c>
      <c r="H7">
        <v>0</v>
      </c>
      <c r="I7">
        <v>0.1</v>
      </c>
    </row>
    <row r="8" spans="1:9" x14ac:dyDescent="0.25">
      <c r="A8" s="1" t="s">
        <v>13</v>
      </c>
      <c r="B8">
        <v>0</v>
      </c>
      <c r="C8">
        <v>0</v>
      </c>
      <c r="D8">
        <v>0</v>
      </c>
      <c r="E8">
        <v>0</v>
      </c>
      <c r="F8">
        <v>0.49359999999999998</v>
      </c>
      <c r="G8">
        <v>0.51500000000000001</v>
      </c>
      <c r="H8">
        <v>0</v>
      </c>
      <c r="I8">
        <v>0.1</v>
      </c>
    </row>
    <row r="10" spans="1:9" x14ac:dyDescent="0.25">
      <c r="A10" s="19" t="s">
        <v>17</v>
      </c>
      <c r="B10" s="19"/>
      <c r="C10" s="19"/>
    </row>
    <row r="11" spans="1:9" x14ac:dyDescent="0.25">
      <c r="B11" s="1" t="s">
        <v>0</v>
      </c>
      <c r="C11" s="1" t="s">
        <v>1</v>
      </c>
      <c r="D11" s="2" t="s">
        <v>26</v>
      </c>
      <c r="E11" s="10" t="s">
        <v>34</v>
      </c>
    </row>
    <row r="12" spans="1:9" x14ac:dyDescent="0.25">
      <c r="A12" s="1" t="s">
        <v>9</v>
      </c>
      <c r="B12" s="4">
        <v>0.72440000000000004</v>
      </c>
      <c r="C12" s="4">
        <v>0.69343999999999995</v>
      </c>
      <c r="D12">
        <v>0</v>
      </c>
      <c r="E12" s="4">
        <v>0.14030000000000001</v>
      </c>
    </row>
    <row r="13" spans="1:9" x14ac:dyDescent="0.25">
      <c r="A13" s="1" t="s">
        <v>10</v>
      </c>
      <c r="B13" s="4">
        <v>0.71919</v>
      </c>
      <c r="C13" s="4">
        <v>0.69789999999999996</v>
      </c>
      <c r="D13">
        <v>0</v>
      </c>
      <c r="E13" s="4">
        <v>4.0529999999999997E-2</v>
      </c>
    </row>
    <row r="14" spans="1:9" x14ac:dyDescent="0.25">
      <c r="A14" s="1" t="s">
        <v>11</v>
      </c>
      <c r="B14" s="4">
        <v>0.72238999999999998</v>
      </c>
      <c r="C14" s="4">
        <v>0.68044000000000004</v>
      </c>
      <c r="D14">
        <v>0</v>
      </c>
      <c r="E14" s="4">
        <v>2.349E-2</v>
      </c>
    </row>
    <row r="15" spans="1:9" x14ac:dyDescent="0.25">
      <c r="A15" s="1" t="s">
        <v>12</v>
      </c>
      <c r="B15" s="4">
        <v>0.72345999999999999</v>
      </c>
      <c r="C15" s="4">
        <v>0.68391999999999997</v>
      </c>
      <c r="D15">
        <v>0</v>
      </c>
      <c r="E15" s="4">
        <v>1.5869999999999999E-2</v>
      </c>
    </row>
    <row r="16" spans="1:9" x14ac:dyDescent="0.25">
      <c r="A16" s="1" t="s">
        <v>13</v>
      </c>
      <c r="B16" s="4">
        <v>0.72050000000000003</v>
      </c>
      <c r="C16" s="4">
        <v>0.69340999999999997</v>
      </c>
      <c r="D16">
        <v>0</v>
      </c>
      <c r="E16" s="4">
        <v>2.6009999999999998E-2</v>
      </c>
    </row>
    <row r="18" spans="1:9" ht="36.75" customHeight="1" x14ac:dyDescent="0.25"/>
    <row r="21" spans="1:9" x14ac:dyDescent="0.25">
      <c r="A21" s="14" t="s">
        <v>19</v>
      </c>
      <c r="B21" s="14"/>
      <c r="C21" s="14"/>
      <c r="D21" s="14"/>
      <c r="E21" s="14"/>
      <c r="F21" s="14"/>
      <c r="G21" s="14"/>
    </row>
    <row r="22" spans="1:9" x14ac:dyDescent="0.25">
      <c r="A22" s="13" t="s">
        <v>16</v>
      </c>
      <c r="B22" s="13"/>
      <c r="C22" s="13"/>
      <c r="D22" s="13"/>
      <c r="E22" s="13"/>
      <c r="F22" s="13"/>
      <c r="G22" s="13"/>
    </row>
    <row r="23" spans="1:9" ht="30" x14ac:dyDescent="0.25">
      <c r="A23" s="5"/>
      <c r="B23" s="1" t="s">
        <v>5</v>
      </c>
      <c r="C23" s="6" t="s">
        <v>6</v>
      </c>
      <c r="D23" s="6" t="s">
        <v>7</v>
      </c>
      <c r="E23" s="6" t="s">
        <v>8</v>
      </c>
      <c r="F23" s="1" t="s">
        <v>1</v>
      </c>
      <c r="G23" s="1" t="s">
        <v>0</v>
      </c>
      <c r="H23" s="2" t="s">
        <v>26</v>
      </c>
      <c r="I23" s="10" t="s">
        <v>34</v>
      </c>
    </row>
    <row r="24" spans="1:9" x14ac:dyDescent="0.25">
      <c r="A24" s="1" t="s">
        <v>9</v>
      </c>
      <c r="B24">
        <v>0</v>
      </c>
      <c r="C24">
        <v>0</v>
      </c>
      <c r="D24">
        <v>0</v>
      </c>
      <c r="E24">
        <v>0</v>
      </c>
      <c r="F24">
        <v>0.24129999999999999</v>
      </c>
      <c r="G24">
        <v>0.28599999999999998</v>
      </c>
      <c r="H24">
        <v>0</v>
      </c>
      <c r="I24">
        <v>5.6300000000000003E-2</v>
      </c>
    </row>
    <row r="25" spans="1:9" x14ac:dyDescent="0.25">
      <c r="A25" s="1" t="s">
        <v>10</v>
      </c>
      <c r="B25">
        <v>0</v>
      </c>
      <c r="C25">
        <v>0</v>
      </c>
      <c r="D25">
        <v>0</v>
      </c>
      <c r="E25">
        <v>0</v>
      </c>
      <c r="F25">
        <v>0.24249999999999999</v>
      </c>
      <c r="G25">
        <v>0.27800000000000002</v>
      </c>
      <c r="H25">
        <v>0</v>
      </c>
      <c r="I25">
        <v>0.19</v>
      </c>
    </row>
    <row r="26" spans="1:9" x14ac:dyDescent="0.25">
      <c r="A26" s="1" t="s">
        <v>11</v>
      </c>
      <c r="B26">
        <v>0</v>
      </c>
      <c r="C26">
        <v>0</v>
      </c>
      <c r="D26">
        <v>0</v>
      </c>
      <c r="E26">
        <v>0</v>
      </c>
      <c r="F26">
        <v>0.26700000000000002</v>
      </c>
      <c r="G26">
        <v>0.28649999999999998</v>
      </c>
      <c r="H26">
        <v>0</v>
      </c>
      <c r="I26">
        <v>0.19</v>
      </c>
    </row>
    <row r="27" spans="1:9" x14ac:dyDescent="0.25">
      <c r="A27" s="1" t="s">
        <v>12</v>
      </c>
      <c r="B27">
        <v>0</v>
      </c>
      <c r="C27">
        <v>0</v>
      </c>
      <c r="D27">
        <v>0</v>
      </c>
      <c r="E27">
        <v>0</v>
      </c>
      <c r="F27">
        <v>0.26900000000000002</v>
      </c>
      <c r="G27">
        <v>0.28599999999999998</v>
      </c>
      <c r="H27">
        <v>0</v>
      </c>
      <c r="I27">
        <v>5.6300000000000003E-2</v>
      </c>
    </row>
    <row r="28" spans="1:9" x14ac:dyDescent="0.25">
      <c r="A28" s="1" t="s">
        <v>13</v>
      </c>
      <c r="B28">
        <v>0</v>
      </c>
      <c r="C28">
        <v>0</v>
      </c>
      <c r="D28">
        <v>0</v>
      </c>
      <c r="E28">
        <v>0</v>
      </c>
      <c r="F28">
        <v>0.27</v>
      </c>
      <c r="G28">
        <v>0.28599999999999998</v>
      </c>
      <c r="H28">
        <v>0</v>
      </c>
      <c r="I28">
        <v>0.10589999999999999</v>
      </c>
    </row>
    <row r="30" spans="1:9" x14ac:dyDescent="0.25">
      <c r="A30" s="19" t="s">
        <v>17</v>
      </c>
      <c r="B30" s="19"/>
      <c r="C30" s="19"/>
    </row>
    <row r="31" spans="1:9" x14ac:dyDescent="0.25">
      <c r="B31" s="1" t="s">
        <v>0</v>
      </c>
      <c r="C31" s="1" t="s">
        <v>1</v>
      </c>
      <c r="D31" s="2" t="s">
        <v>26</v>
      </c>
      <c r="E31" s="10" t="s">
        <v>34</v>
      </c>
    </row>
    <row r="32" spans="1:9" x14ac:dyDescent="0.25">
      <c r="A32" s="1" t="s">
        <v>9</v>
      </c>
      <c r="B32" s="4">
        <v>0.31175000000000003</v>
      </c>
      <c r="C32" s="4">
        <v>0.26079000000000002</v>
      </c>
      <c r="D32">
        <v>0</v>
      </c>
      <c r="E32" s="4">
        <v>4.6330000000000003E-2</v>
      </c>
    </row>
    <row r="33" spans="1:9" x14ac:dyDescent="0.25">
      <c r="A33" s="1" t="s">
        <v>10</v>
      </c>
      <c r="B33" s="4">
        <v>0.30134</v>
      </c>
      <c r="C33" s="4">
        <v>0.26279999999999998</v>
      </c>
      <c r="D33">
        <v>0</v>
      </c>
      <c r="E33" s="4">
        <v>4.7980000000000002E-2</v>
      </c>
    </row>
    <row r="34" spans="1:9" x14ac:dyDescent="0.25">
      <c r="A34" s="1" t="s">
        <v>11</v>
      </c>
      <c r="B34" s="4">
        <v>0.31133</v>
      </c>
      <c r="C34" s="4">
        <v>0.28989999999999999</v>
      </c>
      <c r="D34">
        <v>0</v>
      </c>
      <c r="E34" s="4">
        <v>4.036E-2</v>
      </c>
    </row>
    <row r="35" spans="1:9" x14ac:dyDescent="0.25">
      <c r="A35" s="1" t="s">
        <v>12</v>
      </c>
      <c r="B35" s="4">
        <v>0.30869999999999997</v>
      </c>
      <c r="C35" s="4">
        <v>0.29266999999999999</v>
      </c>
      <c r="D35">
        <v>0</v>
      </c>
      <c r="E35" s="4">
        <v>3.6488E-2</v>
      </c>
    </row>
    <row r="36" spans="1:9" x14ac:dyDescent="0.25">
      <c r="A36" s="1" t="s">
        <v>13</v>
      </c>
      <c r="B36" s="4">
        <v>0.30884</v>
      </c>
      <c r="C36" s="4">
        <v>0.29311999999999999</v>
      </c>
      <c r="D36">
        <v>0</v>
      </c>
      <c r="E36" s="4">
        <v>5.0054000000000001E-2</v>
      </c>
    </row>
    <row r="40" spans="1:9" x14ac:dyDescent="0.25">
      <c r="A40" s="14" t="s">
        <v>20</v>
      </c>
      <c r="B40" s="14"/>
      <c r="C40" s="14"/>
      <c r="D40" s="14"/>
      <c r="E40" s="14"/>
      <c r="F40" s="14"/>
      <c r="G40" s="14"/>
    </row>
    <row r="41" spans="1:9" x14ac:dyDescent="0.25">
      <c r="A41" s="13" t="s">
        <v>16</v>
      </c>
      <c r="B41" s="13"/>
      <c r="C41" s="13"/>
      <c r="D41" s="13"/>
      <c r="E41" s="13"/>
      <c r="F41" s="13"/>
      <c r="G41" s="13"/>
    </row>
    <row r="42" spans="1:9" ht="30" x14ac:dyDescent="0.25">
      <c r="A42" s="5"/>
      <c r="B42" s="1" t="s">
        <v>5</v>
      </c>
      <c r="C42" s="6" t="s">
        <v>6</v>
      </c>
      <c r="D42" s="6" t="s">
        <v>7</v>
      </c>
      <c r="E42" s="6" t="s">
        <v>8</v>
      </c>
      <c r="F42" s="1" t="s">
        <v>1</v>
      </c>
      <c r="G42" s="1" t="s">
        <v>0</v>
      </c>
      <c r="H42" s="2" t="s">
        <v>26</v>
      </c>
      <c r="I42" s="10" t="s">
        <v>34</v>
      </c>
    </row>
    <row r="43" spans="1:9" x14ac:dyDescent="0.25">
      <c r="A43" s="1" t="s">
        <v>9</v>
      </c>
      <c r="B43">
        <v>0</v>
      </c>
      <c r="C43">
        <v>0</v>
      </c>
      <c r="D43">
        <v>0</v>
      </c>
      <c r="E43">
        <v>0</v>
      </c>
      <c r="F43">
        <v>2.64E-2</v>
      </c>
      <c r="G43">
        <v>2.9899999999999999E-2</v>
      </c>
      <c r="H43">
        <v>0</v>
      </c>
      <c r="I43">
        <v>9.9250000000000005E-2</v>
      </c>
    </row>
    <row r="44" spans="1:9" x14ac:dyDescent="0.25">
      <c r="A44" s="1" t="s">
        <v>10</v>
      </c>
      <c r="B44">
        <v>0</v>
      </c>
      <c r="C44">
        <v>0</v>
      </c>
      <c r="D44">
        <v>0</v>
      </c>
      <c r="E44">
        <v>0</v>
      </c>
      <c r="F44">
        <v>2.3900000000000001E-2</v>
      </c>
      <c r="G44">
        <v>3.9800000000000002E-2</v>
      </c>
      <c r="H44">
        <v>0</v>
      </c>
      <c r="I44">
        <v>9.5689999999999997E-2</v>
      </c>
    </row>
    <row r="45" spans="1:9" x14ac:dyDescent="0.25">
      <c r="A45" s="1" t="s">
        <v>11</v>
      </c>
      <c r="B45">
        <v>0</v>
      </c>
      <c r="C45">
        <v>0</v>
      </c>
      <c r="D45">
        <v>0</v>
      </c>
      <c r="E45">
        <v>0</v>
      </c>
      <c r="F45">
        <v>2.0500000000000001E-2</v>
      </c>
      <c r="G45">
        <v>2.9499999999999998E-2</v>
      </c>
      <c r="H45">
        <v>0</v>
      </c>
      <c r="I45">
        <v>0.104588</v>
      </c>
    </row>
    <row r="46" spans="1:9" x14ac:dyDescent="0.25">
      <c r="A46" s="1" t="s">
        <v>12</v>
      </c>
      <c r="B46">
        <v>0</v>
      </c>
      <c r="C46">
        <v>0</v>
      </c>
      <c r="D46">
        <v>0</v>
      </c>
      <c r="E46">
        <v>0</v>
      </c>
      <c r="F46">
        <v>2.1160000000000002E-2</v>
      </c>
      <c r="G46">
        <v>4.4299999999999999E-2</v>
      </c>
      <c r="H46">
        <v>0</v>
      </c>
      <c r="I46">
        <v>0.102059</v>
      </c>
    </row>
    <row r="47" spans="1:9" x14ac:dyDescent="0.25">
      <c r="A47" s="1" t="s">
        <v>13</v>
      </c>
      <c r="B47">
        <v>0</v>
      </c>
      <c r="C47">
        <v>0</v>
      </c>
      <c r="D47">
        <v>0</v>
      </c>
      <c r="E47">
        <v>0</v>
      </c>
      <c r="F47">
        <v>2.5399999999999999E-2</v>
      </c>
      <c r="G47">
        <v>4.3999999999999997E-2</v>
      </c>
      <c r="H47">
        <v>0</v>
      </c>
      <c r="I47">
        <v>0.104625</v>
      </c>
    </row>
    <row r="49" spans="1:9" x14ac:dyDescent="0.25">
      <c r="A49" s="19" t="s">
        <v>17</v>
      </c>
      <c r="B49" s="19"/>
      <c r="C49" s="19"/>
    </row>
    <row r="50" spans="1:9" x14ac:dyDescent="0.25">
      <c r="B50" s="1" t="s">
        <v>0</v>
      </c>
      <c r="C50" s="1" t="s">
        <v>1</v>
      </c>
      <c r="D50" s="2" t="s">
        <v>26</v>
      </c>
      <c r="E50" s="10" t="s">
        <v>34</v>
      </c>
    </row>
    <row r="51" spans="1:9" x14ac:dyDescent="0.25">
      <c r="A51" s="1" t="s">
        <v>9</v>
      </c>
      <c r="B51" s="4">
        <v>2.9960000000000001E-2</v>
      </c>
      <c r="C51" s="4">
        <v>1.06E-2</v>
      </c>
      <c r="D51">
        <v>0</v>
      </c>
      <c r="E51" s="4">
        <v>4.92509E-2</v>
      </c>
    </row>
    <row r="52" spans="1:9" x14ac:dyDescent="0.25">
      <c r="A52" s="1" t="s">
        <v>10</v>
      </c>
      <c r="B52" s="4">
        <v>2.647E-2</v>
      </c>
      <c r="C52" s="4">
        <v>3.9879999999999999E-2</v>
      </c>
      <c r="D52">
        <v>0</v>
      </c>
      <c r="E52" s="4">
        <v>4.5690000000000001E-2</v>
      </c>
    </row>
    <row r="53" spans="1:9" x14ac:dyDescent="0.25">
      <c r="A53" s="1" t="s">
        <v>11</v>
      </c>
      <c r="B53" s="4">
        <v>2.9579999999999999E-2</v>
      </c>
      <c r="C53" s="4">
        <v>2.06E-2</v>
      </c>
      <c r="D53">
        <v>0</v>
      </c>
      <c r="E53" s="4">
        <v>4.5879999999999997E-2</v>
      </c>
    </row>
    <row r="54" spans="1:9" x14ac:dyDescent="0.25">
      <c r="A54" s="1" t="s">
        <v>12</v>
      </c>
      <c r="B54" s="4">
        <v>4.4380000000000003E-2</v>
      </c>
      <c r="C54" s="4">
        <v>2.12E-2</v>
      </c>
      <c r="D54">
        <v>0</v>
      </c>
      <c r="E54" s="4">
        <v>2.7465E-2</v>
      </c>
    </row>
    <row r="55" spans="1:9" x14ac:dyDescent="0.25">
      <c r="A55" s="1" t="s">
        <v>13</v>
      </c>
      <c r="B55" s="4">
        <v>4.4380000000000003E-2</v>
      </c>
      <c r="C55" s="4">
        <v>2.5499999999999998E-2</v>
      </c>
      <c r="D55">
        <v>0</v>
      </c>
      <c r="E55" s="4">
        <v>4.6254000000000003E-2</v>
      </c>
    </row>
    <row r="59" spans="1:9" x14ac:dyDescent="0.25">
      <c r="A59" s="14" t="s">
        <v>14</v>
      </c>
      <c r="B59" s="14"/>
      <c r="C59" s="14"/>
      <c r="D59" s="14"/>
      <c r="E59" s="14"/>
      <c r="F59" s="14"/>
      <c r="G59" s="14"/>
    </row>
    <row r="60" spans="1:9" x14ac:dyDescent="0.25">
      <c r="A60" s="13" t="s">
        <v>16</v>
      </c>
      <c r="B60" s="13"/>
      <c r="C60" s="13"/>
      <c r="D60" s="13"/>
      <c r="E60" s="13"/>
      <c r="F60" s="13"/>
      <c r="G60" s="13"/>
    </row>
    <row r="61" spans="1:9" ht="30" x14ac:dyDescent="0.25">
      <c r="A61" s="5"/>
      <c r="B61" s="1" t="s">
        <v>5</v>
      </c>
      <c r="C61" s="6" t="s">
        <v>6</v>
      </c>
      <c r="D61" s="6" t="s">
        <v>7</v>
      </c>
      <c r="E61" s="6" t="s">
        <v>8</v>
      </c>
      <c r="F61" s="1" t="s">
        <v>1</v>
      </c>
      <c r="G61" s="1" t="s">
        <v>0</v>
      </c>
      <c r="H61" s="2" t="s">
        <v>26</v>
      </c>
      <c r="I61" s="10" t="s">
        <v>34</v>
      </c>
    </row>
    <row r="62" spans="1:9" x14ac:dyDescent="0.25">
      <c r="A62" s="1" t="s">
        <v>9</v>
      </c>
      <c r="B62">
        <v>0</v>
      </c>
      <c r="C62">
        <v>0</v>
      </c>
      <c r="D62">
        <v>7.2999999999999995E-2</v>
      </c>
      <c r="E62">
        <v>0</v>
      </c>
      <c r="F62">
        <v>0.32750000000000001</v>
      </c>
      <c r="G62">
        <v>0.315</v>
      </c>
      <c r="H62">
        <v>0</v>
      </c>
      <c r="I62">
        <v>0.115288</v>
      </c>
    </row>
    <row r="63" spans="1:9" x14ac:dyDescent="0.25">
      <c r="A63" s="1" t="s">
        <v>10</v>
      </c>
      <c r="B63">
        <v>0</v>
      </c>
      <c r="C63">
        <v>0</v>
      </c>
      <c r="D63">
        <v>6.9800000000000001E-2</v>
      </c>
      <c r="E63">
        <v>0</v>
      </c>
      <c r="F63">
        <v>0.32400000000000001</v>
      </c>
      <c r="G63">
        <v>0.312</v>
      </c>
      <c r="H63">
        <v>0</v>
      </c>
      <c r="I63">
        <v>0.11688999999999999</v>
      </c>
    </row>
    <row r="64" spans="1:9" x14ac:dyDescent="0.25">
      <c r="A64" s="1" t="s">
        <v>11</v>
      </c>
      <c r="B64">
        <v>0</v>
      </c>
      <c r="C64">
        <v>0</v>
      </c>
      <c r="D64">
        <v>6.7599999999999993E-2</v>
      </c>
      <c r="E64">
        <v>0</v>
      </c>
      <c r="F64">
        <v>0.34549999999999997</v>
      </c>
      <c r="G64">
        <v>0.312</v>
      </c>
      <c r="H64">
        <v>0</v>
      </c>
      <c r="I64">
        <v>0.14756</v>
      </c>
    </row>
    <row r="65" spans="1:9" x14ac:dyDescent="0.25">
      <c r="A65" s="1" t="s">
        <v>12</v>
      </c>
      <c r="B65">
        <v>0</v>
      </c>
      <c r="C65">
        <v>0</v>
      </c>
      <c r="D65">
        <v>7.8399999999999997E-2</v>
      </c>
      <c r="E65">
        <v>0</v>
      </c>
      <c r="F65">
        <v>0.33200000000000002</v>
      </c>
      <c r="G65">
        <v>0.312</v>
      </c>
      <c r="H65">
        <v>0</v>
      </c>
      <c r="I65">
        <v>0.1704</v>
      </c>
    </row>
    <row r="66" spans="1:9" x14ac:dyDescent="0.25">
      <c r="A66" s="1" t="s">
        <v>13</v>
      </c>
      <c r="B66">
        <v>0</v>
      </c>
      <c r="C66">
        <v>0</v>
      </c>
      <c r="D66">
        <v>6.9199999999999998E-2</v>
      </c>
      <c r="E66">
        <v>0</v>
      </c>
      <c r="F66">
        <v>0.33200000000000002</v>
      </c>
      <c r="G66">
        <v>0.312</v>
      </c>
      <c r="H66">
        <v>0</v>
      </c>
      <c r="I66">
        <v>0.13800999999999999</v>
      </c>
    </row>
    <row r="68" spans="1:9" x14ac:dyDescent="0.25">
      <c r="A68" s="19" t="s">
        <v>17</v>
      </c>
      <c r="B68" s="19"/>
      <c r="C68" s="19"/>
    </row>
    <row r="69" spans="1:9" x14ac:dyDescent="0.25">
      <c r="B69" s="1" t="s">
        <v>0</v>
      </c>
      <c r="C69" s="1" t="s">
        <v>1</v>
      </c>
      <c r="D69" s="2" t="s">
        <v>26</v>
      </c>
      <c r="E69" s="10" t="s">
        <v>34</v>
      </c>
    </row>
    <row r="70" spans="1:9" x14ac:dyDescent="0.25">
      <c r="A70" s="1" t="s">
        <v>9</v>
      </c>
      <c r="B70" s="4">
        <v>0.37013000000000001</v>
      </c>
      <c r="C70" s="4">
        <v>0.37828000000000001</v>
      </c>
      <c r="D70" s="8">
        <v>0</v>
      </c>
      <c r="E70" s="8">
        <v>4.5455000000000002E-2</v>
      </c>
    </row>
    <row r="71" spans="1:9" x14ac:dyDescent="0.25">
      <c r="A71" s="1" t="s">
        <v>10</v>
      </c>
      <c r="B71" s="4">
        <v>0.35787000000000002</v>
      </c>
      <c r="C71" s="4">
        <v>0.37422</v>
      </c>
      <c r="D71" s="8">
        <v>0</v>
      </c>
      <c r="E71" s="8">
        <v>7.5980000000000006E-2</v>
      </c>
    </row>
    <row r="72" spans="1:9" x14ac:dyDescent="0.25">
      <c r="A72" s="1" t="s">
        <v>11</v>
      </c>
      <c r="B72" s="4">
        <v>0.36487999999999998</v>
      </c>
      <c r="C72" s="4">
        <v>0.40194999999999997</v>
      </c>
      <c r="D72" s="8">
        <v>0</v>
      </c>
      <c r="E72" s="8">
        <v>5.2200000000000003E-2</v>
      </c>
    </row>
    <row r="73" spans="1:9" x14ac:dyDescent="0.25">
      <c r="A73" s="1" t="s">
        <v>12</v>
      </c>
      <c r="B73" s="4">
        <v>0.36543999999999999</v>
      </c>
      <c r="C73" s="4">
        <v>0.38544</v>
      </c>
      <c r="D73" s="8">
        <v>0</v>
      </c>
      <c r="E73" s="8">
        <v>2.3406E-2</v>
      </c>
    </row>
    <row r="74" spans="1:9" x14ac:dyDescent="0.25">
      <c r="A74" s="1" t="s">
        <v>13</v>
      </c>
      <c r="B74" s="4">
        <v>0.35759999999999997</v>
      </c>
      <c r="C74" s="4">
        <v>0.3841</v>
      </c>
      <c r="D74" s="8">
        <v>0</v>
      </c>
      <c r="E74" s="8">
        <v>3.4980999999999998E-2</v>
      </c>
    </row>
    <row r="78" spans="1:9" x14ac:dyDescent="0.25">
      <c r="A78" s="14" t="s">
        <v>22</v>
      </c>
      <c r="B78" s="14"/>
      <c r="C78" s="14"/>
      <c r="D78" s="14"/>
      <c r="E78" s="14"/>
      <c r="F78" s="14"/>
      <c r="G78" s="14"/>
    </row>
    <row r="79" spans="1:9" x14ac:dyDescent="0.25">
      <c r="A79" s="13" t="s">
        <v>16</v>
      </c>
      <c r="B79" s="13"/>
      <c r="C79" s="13"/>
      <c r="D79" s="13"/>
      <c r="E79" s="13"/>
      <c r="F79" s="13"/>
      <c r="G79" s="13"/>
    </row>
    <row r="80" spans="1:9" ht="30" x14ac:dyDescent="0.25">
      <c r="A80" s="5"/>
      <c r="B80" s="1" t="s">
        <v>5</v>
      </c>
      <c r="C80" s="6" t="s">
        <v>6</v>
      </c>
      <c r="D80" s="6" t="s">
        <v>7</v>
      </c>
      <c r="E80" s="6" t="s">
        <v>8</v>
      </c>
      <c r="F80" s="1" t="s">
        <v>1</v>
      </c>
      <c r="G80" s="1" t="s">
        <v>0</v>
      </c>
      <c r="H80" s="2" t="s">
        <v>26</v>
      </c>
      <c r="I80" s="10" t="s">
        <v>34</v>
      </c>
    </row>
    <row r="81" spans="1:9" x14ac:dyDescent="0.25">
      <c r="A81" s="1" t="s">
        <v>9</v>
      </c>
      <c r="B81">
        <v>0</v>
      </c>
      <c r="C81">
        <v>0</v>
      </c>
      <c r="D81">
        <v>0.38200000000000001</v>
      </c>
      <c r="E81">
        <v>0</v>
      </c>
      <c r="F81">
        <v>0.90900000000000003</v>
      </c>
      <c r="G81">
        <v>0.89600000000000002</v>
      </c>
      <c r="H81">
        <v>2.8089887640449397E-4</v>
      </c>
      <c r="I81">
        <v>0.10945000000000001</v>
      </c>
    </row>
    <row r="82" spans="1:9" x14ac:dyDescent="0.25">
      <c r="A82" s="1" t="s">
        <v>10</v>
      </c>
      <c r="B82">
        <v>0</v>
      </c>
      <c r="C82">
        <v>0</v>
      </c>
      <c r="D82">
        <v>0.38300000000000001</v>
      </c>
      <c r="E82">
        <v>0</v>
      </c>
      <c r="F82">
        <v>0.90200000000000002</v>
      </c>
      <c r="G82">
        <v>0.89600000000000002</v>
      </c>
      <c r="H82">
        <v>2.8089E-4</v>
      </c>
      <c r="I82">
        <v>0.1081</v>
      </c>
    </row>
    <row r="83" spans="1:9" x14ac:dyDescent="0.25">
      <c r="A83" s="1" t="s">
        <v>11</v>
      </c>
      <c r="B83">
        <v>0</v>
      </c>
      <c r="C83">
        <v>0</v>
      </c>
      <c r="D83">
        <v>0.32500000000000001</v>
      </c>
      <c r="E83">
        <v>0</v>
      </c>
      <c r="F83">
        <v>0.90100000000000002</v>
      </c>
      <c r="G83">
        <v>0.89600000000000002</v>
      </c>
      <c r="H83">
        <v>2.8089800000000002E-4</v>
      </c>
      <c r="I83">
        <v>0.105627</v>
      </c>
    </row>
    <row r="84" spans="1:9" x14ac:dyDescent="0.25">
      <c r="A84" s="1" t="s">
        <v>12</v>
      </c>
      <c r="B84">
        <v>0</v>
      </c>
      <c r="C84">
        <v>0</v>
      </c>
      <c r="D84">
        <v>0.39450000000000002</v>
      </c>
      <c r="E84">
        <v>0</v>
      </c>
      <c r="F84">
        <v>0.89900000000000002</v>
      </c>
      <c r="G84">
        <v>0.89600000000000002</v>
      </c>
      <c r="H84">
        <v>2.8089800000000002E-4</v>
      </c>
      <c r="I84">
        <v>0.107556</v>
      </c>
    </row>
    <row r="85" spans="1:9" x14ac:dyDescent="0.25">
      <c r="A85" s="1" t="s">
        <v>13</v>
      </c>
      <c r="B85">
        <v>0</v>
      </c>
      <c r="C85">
        <v>0</v>
      </c>
      <c r="D85">
        <v>0.40200000000000002</v>
      </c>
      <c r="E85">
        <v>0</v>
      </c>
      <c r="F85">
        <v>0.92500000000000004</v>
      </c>
      <c r="G85">
        <v>0.90200000000000002</v>
      </c>
      <c r="H85">
        <v>2.8089E-4</v>
      </c>
      <c r="I85">
        <v>0.10249999999999999</v>
      </c>
    </row>
    <row r="87" spans="1:9" x14ac:dyDescent="0.25">
      <c r="A87" s="19" t="s">
        <v>17</v>
      </c>
      <c r="B87" s="19"/>
      <c r="C87" s="19"/>
    </row>
    <row r="88" spans="1:9" x14ac:dyDescent="0.25">
      <c r="B88" s="1" t="s">
        <v>0</v>
      </c>
      <c r="C88" s="1" t="s">
        <v>1</v>
      </c>
      <c r="D88" s="2" t="s">
        <v>26</v>
      </c>
      <c r="E88" s="10" t="s">
        <v>34</v>
      </c>
    </row>
    <row r="89" spans="1:9" x14ac:dyDescent="0.25">
      <c r="A89" s="1" t="s">
        <v>9</v>
      </c>
      <c r="B89" s="4">
        <v>3.7202600000000001</v>
      </c>
      <c r="C89" s="4">
        <v>3.8961000000000001</v>
      </c>
      <c r="D89" s="4">
        <v>1.178E-3</v>
      </c>
      <c r="E89" s="4">
        <v>6.7309999999999995E-2</v>
      </c>
    </row>
    <row r="90" spans="1:9" x14ac:dyDescent="0.25">
      <c r="A90" s="1" t="s">
        <v>10</v>
      </c>
      <c r="B90" s="4">
        <v>3.70566</v>
      </c>
      <c r="C90" s="4">
        <v>3.841904</v>
      </c>
      <c r="D90" s="4">
        <v>3.5300000000000002E-4</v>
      </c>
      <c r="E90" s="4">
        <v>4.3011000000000001E-2</v>
      </c>
    </row>
    <row r="91" spans="1:9" x14ac:dyDescent="0.25">
      <c r="A91" s="1" t="s">
        <v>11</v>
      </c>
      <c r="B91" s="4">
        <v>3.7888700000000002</v>
      </c>
      <c r="C91" s="4">
        <v>3.8595079999999999</v>
      </c>
      <c r="D91" s="4">
        <v>3.5300000000000002E-4</v>
      </c>
      <c r="E91" s="4">
        <v>0.13446</v>
      </c>
    </row>
    <row r="92" spans="1:9" x14ac:dyDescent="0.25">
      <c r="A92" s="1" t="s">
        <v>12</v>
      </c>
      <c r="B92" s="4">
        <v>3.81427</v>
      </c>
      <c r="C92" s="4">
        <v>4.0140700000000002</v>
      </c>
      <c r="D92" s="4">
        <v>1.178E-3</v>
      </c>
      <c r="E92" s="4">
        <v>0.17397000000000001</v>
      </c>
    </row>
    <row r="93" spans="1:9" x14ac:dyDescent="0.25">
      <c r="A93" s="1" t="s">
        <v>13</v>
      </c>
      <c r="B93" s="4">
        <v>3.7985899999999999</v>
      </c>
      <c r="C93" s="4">
        <v>3.8702030000000001</v>
      </c>
      <c r="D93" s="4">
        <v>5.0799999999999999E-4</v>
      </c>
      <c r="E93" s="4">
        <v>8.8719999999999993E-2</v>
      </c>
    </row>
    <row r="98" spans="1:7" x14ac:dyDescent="0.25">
      <c r="A98" s="15" t="s">
        <v>23</v>
      </c>
      <c r="B98" s="15"/>
      <c r="C98" s="15"/>
      <c r="D98" s="15"/>
      <c r="E98" s="15"/>
      <c r="F98" s="15"/>
      <c r="G98" s="15"/>
    </row>
    <row r="99" spans="1:7" x14ac:dyDescent="0.25">
      <c r="A99" s="13" t="s">
        <v>16</v>
      </c>
      <c r="B99" s="13"/>
      <c r="C99" s="13"/>
      <c r="D99" s="13"/>
      <c r="E99" s="13"/>
      <c r="F99" s="13"/>
      <c r="G99" s="13"/>
    </row>
    <row r="100" spans="1:7" x14ac:dyDescent="0.25">
      <c r="A100" s="9"/>
      <c r="B100" s="1" t="s">
        <v>7</v>
      </c>
      <c r="C100" s="1" t="s">
        <v>1</v>
      </c>
      <c r="D100" s="1" t="s">
        <v>0</v>
      </c>
      <c r="E100" s="2" t="s">
        <v>37</v>
      </c>
      <c r="F100" s="10" t="s">
        <v>38</v>
      </c>
    </row>
    <row r="101" spans="1:7" x14ac:dyDescent="0.25">
      <c r="A101" s="2">
        <v>0.7</v>
      </c>
      <c r="B101" s="12">
        <f>AVERAGE(D4:D8)</f>
        <v>0</v>
      </c>
      <c r="C101" s="12">
        <f>AVERAGE(F4:F8)</f>
        <v>0.49014600000000003</v>
      </c>
      <c r="D101" s="12">
        <f>AVERAGE(G4:G8)</f>
        <v>0.51439999999999997</v>
      </c>
      <c r="E101" s="12">
        <f>AVERAGE(H4:H8)</f>
        <v>0</v>
      </c>
      <c r="F101" s="12">
        <f>AVERAGE(I4:I8)</f>
        <v>0.1</v>
      </c>
    </row>
    <row r="102" spans="1:7" x14ac:dyDescent="0.25">
      <c r="A102" s="3">
        <v>0.3</v>
      </c>
      <c r="B102" s="12">
        <f>AVERAGE(D24:D28)</f>
        <v>0</v>
      </c>
      <c r="C102" s="12">
        <f>AVERAGE(F24:F28)</f>
        <v>0.25796000000000002</v>
      </c>
      <c r="D102" s="12">
        <f>AVERAGE(G24:G28)</f>
        <v>0.28450000000000003</v>
      </c>
      <c r="E102" s="12">
        <f t="shared" ref="E102:E104" si="0">AVERAGE(H5:H9)</f>
        <v>0</v>
      </c>
      <c r="F102" s="12">
        <f>AVERAGE(I24:I28)</f>
        <v>0.1197</v>
      </c>
    </row>
    <row r="103" spans="1:7" x14ac:dyDescent="0.25">
      <c r="A103" s="3">
        <v>0</v>
      </c>
      <c r="B103" s="12">
        <f>AVERAGE(D43:D47)</f>
        <v>0</v>
      </c>
      <c r="C103" s="12">
        <f>AVERAGE(F43:F47)</f>
        <v>2.3472E-2</v>
      </c>
      <c r="D103" s="12">
        <f>AVERAGE(G43:G47)</f>
        <v>3.7499999999999999E-2</v>
      </c>
      <c r="E103" s="12">
        <f t="shared" si="0"/>
        <v>0</v>
      </c>
      <c r="F103" s="12">
        <f>AVERAGE(I43:I47)</f>
        <v>0.1012424</v>
      </c>
    </row>
    <row r="104" spans="1:7" x14ac:dyDescent="0.25">
      <c r="A104" s="3">
        <v>-0.3</v>
      </c>
      <c r="B104" s="12">
        <f>AVERAGE(D62:D66)</f>
        <v>7.1599999999999983E-2</v>
      </c>
      <c r="C104" s="12">
        <f>AVERAGE(F62:F66)</f>
        <v>0.3322</v>
      </c>
      <c r="D104" s="12">
        <f>AVERAGE(G62:G66)</f>
        <v>0.31260000000000004</v>
      </c>
      <c r="E104" s="12">
        <f t="shared" si="0"/>
        <v>0</v>
      </c>
      <c r="F104" s="12">
        <f>AVERAGE(I62:I66)</f>
        <v>0.13762959999999999</v>
      </c>
    </row>
    <row r="105" spans="1:7" x14ac:dyDescent="0.25">
      <c r="A105" s="3">
        <v>-0.7</v>
      </c>
      <c r="B105" s="12">
        <f>AVERAGE(D81:D85)</f>
        <v>0.37730000000000008</v>
      </c>
      <c r="C105" s="12">
        <f>AVERAGE(F81:F85)</f>
        <v>0.9071999999999999</v>
      </c>
      <c r="D105" s="12">
        <f>AVERAGE(G81:G85)</f>
        <v>0.8972</v>
      </c>
      <c r="E105" s="12">
        <f>AVERAGE(H81:H85)</f>
        <v>2.808949752808988E-4</v>
      </c>
      <c r="F105" s="12">
        <f>AVERAGE(I81:I85)</f>
        <v>0.10664660000000001</v>
      </c>
    </row>
    <row r="109" spans="1:7" x14ac:dyDescent="0.25">
      <c r="A109" s="19" t="s">
        <v>25</v>
      </c>
      <c r="B109" s="19"/>
      <c r="C109" s="19"/>
    </row>
    <row r="110" spans="1:7" x14ac:dyDescent="0.25">
      <c r="B110" s="1" t="s">
        <v>0</v>
      </c>
      <c r="C110" s="1" t="s">
        <v>1</v>
      </c>
      <c r="D110" s="2" t="s">
        <v>33</v>
      </c>
      <c r="E110" s="10" t="s">
        <v>39</v>
      </c>
    </row>
    <row r="111" spans="1:7" x14ac:dyDescent="0.25">
      <c r="A111" s="2">
        <v>0.7</v>
      </c>
      <c r="B111" s="4">
        <f>AVERAGE(B12:B16)</f>
        <v>0.72198799999999985</v>
      </c>
      <c r="C111" s="4">
        <f>AVERAGE(C12:C16)</f>
        <v>0.68982200000000005</v>
      </c>
      <c r="D111" s="8">
        <v>0</v>
      </c>
      <c r="E111" s="4">
        <f>AVERAGE(E12:E16)</f>
        <v>4.9239999999999999E-2</v>
      </c>
    </row>
    <row r="112" spans="1:7" x14ac:dyDescent="0.25">
      <c r="A112" s="3">
        <v>0.3</v>
      </c>
      <c r="B112" s="4">
        <f>AVERAGE(B32:B36)</f>
        <v>0.308392</v>
      </c>
      <c r="C112" s="4">
        <f>AVERAGE(C32:C36)</f>
        <v>0.27985599999999999</v>
      </c>
      <c r="D112" s="8">
        <v>0</v>
      </c>
      <c r="E112" s="4">
        <f>AVERAGE(E32:E36)</f>
        <v>4.4242400000000001E-2</v>
      </c>
    </row>
    <row r="113" spans="1:5" x14ac:dyDescent="0.25">
      <c r="A113" s="3">
        <v>0</v>
      </c>
      <c r="B113" s="4">
        <f>AVERAGE(B51:B55)</f>
        <v>3.4953999999999999E-2</v>
      </c>
      <c r="C113" s="4">
        <f>AVERAGE(C51:C55)</f>
        <v>2.3556000000000001E-2</v>
      </c>
      <c r="D113" s="8">
        <v>0</v>
      </c>
      <c r="E113" s="4">
        <f>AVERAGE(E51:E55)</f>
        <v>4.2907979999999998E-2</v>
      </c>
    </row>
    <row r="114" spans="1:5" x14ac:dyDescent="0.25">
      <c r="A114" s="3">
        <v>-0.3</v>
      </c>
      <c r="B114" s="4">
        <f>AVERAGE(B70:B74)</f>
        <v>0.36318400000000001</v>
      </c>
      <c r="C114" s="4">
        <f>AVERAGE(C70:C74)</f>
        <v>0.38479799999999997</v>
      </c>
      <c r="D114" s="8">
        <f>AVERAGE(D70:D74)</f>
        <v>0</v>
      </c>
      <c r="E114" s="4">
        <f>AVERAGE(E70:E74)</f>
        <v>4.6404399999999998E-2</v>
      </c>
    </row>
    <row r="115" spans="1:5" x14ac:dyDescent="0.25">
      <c r="A115" s="3">
        <v>-0.7</v>
      </c>
      <c r="B115" s="4">
        <f>AVERAGE(B89:B93)</f>
        <v>3.7655300000000005</v>
      </c>
      <c r="C115" s="4">
        <f>AVERAGE(C89:C93)</f>
        <v>3.8963570000000005</v>
      </c>
      <c r="D115" s="8">
        <f>AVERAGE(D89:D93)</f>
        <v>7.1400000000000001E-4</v>
      </c>
      <c r="E115" s="4">
        <f>AVERAGE(E89:E93)</f>
        <v>0.10149420000000001</v>
      </c>
    </row>
  </sheetData>
  <mergeCells count="18">
    <mergeCell ref="A60:G60"/>
    <mergeCell ref="A68:C68"/>
    <mergeCell ref="A78:G78"/>
    <mergeCell ref="A109:C109"/>
    <mergeCell ref="A79:G79"/>
    <mergeCell ref="A87:C87"/>
    <mergeCell ref="A98:G98"/>
    <mergeCell ref="A99:G99"/>
    <mergeCell ref="A30:C30"/>
    <mergeCell ref="A40:G40"/>
    <mergeCell ref="A41:G41"/>
    <mergeCell ref="A49:C49"/>
    <mergeCell ref="A59:G59"/>
    <mergeCell ref="A1:G1"/>
    <mergeCell ref="A2:G2"/>
    <mergeCell ref="A10:C10"/>
    <mergeCell ref="A21:G21"/>
    <mergeCell ref="A22:G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C9A3-BA22-4FD8-88B0-479AAE3F2C8E}">
  <dimension ref="A1:I66"/>
  <sheetViews>
    <sheetView topLeftCell="A56" zoomScale="70" zoomScaleNormal="70" workbookViewId="0">
      <selection activeCell="H87" sqref="H87"/>
    </sheetView>
  </sheetViews>
  <sheetFormatPr defaultRowHeight="15" x14ac:dyDescent="0.25"/>
  <cols>
    <col min="2" max="3" width="15.85546875" bestFit="1" customWidth="1"/>
    <col min="4" max="4" width="38.28515625" bestFit="1" customWidth="1"/>
    <col min="5" max="5" width="15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18</v>
      </c>
      <c r="B1" s="14"/>
      <c r="C1" s="14"/>
      <c r="D1" s="14"/>
      <c r="E1" s="14"/>
      <c r="F1" s="14"/>
      <c r="G1" s="14"/>
    </row>
    <row r="2" spans="1:9" x14ac:dyDescent="0.25">
      <c r="A2" s="16" t="s">
        <v>2</v>
      </c>
      <c r="B2" s="17"/>
      <c r="C2" s="17"/>
      <c r="D2" s="17"/>
      <c r="E2" s="17"/>
      <c r="F2" s="17"/>
      <c r="G2" s="18"/>
    </row>
    <row r="3" spans="1:9" ht="60" x14ac:dyDescent="0.25">
      <c r="A3" s="7"/>
      <c r="B3" s="1" t="s">
        <v>5</v>
      </c>
      <c r="C3" s="6" t="s">
        <v>6</v>
      </c>
      <c r="D3" s="1" t="s">
        <v>7</v>
      </c>
      <c r="E3" s="6" t="s">
        <v>8</v>
      </c>
      <c r="F3" s="1" t="s">
        <v>1</v>
      </c>
      <c r="G3" s="1" t="s">
        <v>0</v>
      </c>
      <c r="H3" s="2" t="s">
        <v>26</v>
      </c>
      <c r="I3" s="10" t="s">
        <v>27</v>
      </c>
    </row>
    <row r="4" spans="1:9" x14ac:dyDescent="0.25">
      <c r="A4" s="1" t="s">
        <v>9</v>
      </c>
      <c r="B4">
        <v>359</v>
      </c>
      <c r="C4">
        <v>211</v>
      </c>
      <c r="D4">
        <v>1092</v>
      </c>
      <c r="E4">
        <v>1072</v>
      </c>
      <c r="F4">
        <v>8</v>
      </c>
      <c r="G4">
        <v>44</v>
      </c>
      <c r="H4">
        <v>1236</v>
      </c>
      <c r="I4">
        <v>796</v>
      </c>
    </row>
    <row r="5" spans="1:9" x14ac:dyDescent="0.25">
      <c r="A5" s="1" t="s">
        <v>10</v>
      </c>
      <c r="B5">
        <v>118</v>
      </c>
      <c r="C5">
        <v>533</v>
      </c>
      <c r="D5">
        <v>1002</v>
      </c>
      <c r="E5">
        <v>1100</v>
      </c>
      <c r="F5">
        <v>22</v>
      </c>
      <c r="G5">
        <v>46</v>
      </c>
      <c r="H5">
        <v>1068</v>
      </c>
      <c r="I5">
        <v>1062</v>
      </c>
    </row>
    <row r="6" spans="1:9" x14ac:dyDescent="0.25">
      <c r="A6" s="1" t="s">
        <v>11</v>
      </c>
      <c r="B6">
        <v>286</v>
      </c>
      <c r="C6">
        <v>587</v>
      </c>
      <c r="D6">
        <v>986</v>
      </c>
      <c r="E6">
        <v>1137</v>
      </c>
      <c r="F6">
        <v>24</v>
      </c>
      <c r="G6">
        <v>32</v>
      </c>
      <c r="H6">
        <v>1231</v>
      </c>
      <c r="I6">
        <v>978</v>
      </c>
    </row>
    <row r="7" spans="1:9" x14ac:dyDescent="0.25">
      <c r="A7" s="1" t="s">
        <v>12</v>
      </c>
      <c r="B7">
        <v>341</v>
      </c>
      <c r="C7">
        <v>578</v>
      </c>
      <c r="D7">
        <v>999</v>
      </c>
      <c r="E7">
        <v>1024</v>
      </c>
      <c r="F7">
        <v>25</v>
      </c>
      <c r="G7">
        <v>39</v>
      </c>
      <c r="H7">
        <v>952</v>
      </c>
      <c r="I7">
        <v>770</v>
      </c>
    </row>
    <row r="8" spans="1:9" x14ac:dyDescent="0.25">
      <c r="A8" s="1" t="s">
        <v>13</v>
      </c>
      <c r="B8">
        <v>126</v>
      </c>
      <c r="C8">
        <v>291</v>
      </c>
      <c r="D8">
        <v>1084</v>
      </c>
      <c r="E8">
        <v>1147</v>
      </c>
      <c r="F8">
        <v>20</v>
      </c>
      <c r="G8">
        <v>33</v>
      </c>
      <c r="H8">
        <v>1532</v>
      </c>
      <c r="I8">
        <v>834</v>
      </c>
    </row>
    <row r="13" spans="1:9" x14ac:dyDescent="0.25">
      <c r="A13" s="14" t="s">
        <v>19</v>
      </c>
      <c r="B13" s="14"/>
      <c r="C13" s="14"/>
      <c r="D13" s="14"/>
      <c r="E13" s="14"/>
      <c r="F13" s="14"/>
      <c r="G13" s="14"/>
    </row>
    <row r="14" spans="1:9" x14ac:dyDescent="0.25">
      <c r="A14" s="16" t="s">
        <v>2</v>
      </c>
      <c r="B14" s="17"/>
      <c r="C14" s="17"/>
      <c r="D14" s="17"/>
      <c r="E14" s="17"/>
      <c r="F14" s="17"/>
      <c r="G14" s="18"/>
    </row>
    <row r="15" spans="1:9" ht="60" x14ac:dyDescent="0.25">
      <c r="A15" s="7"/>
      <c r="B15" s="1" t="s">
        <v>5</v>
      </c>
      <c r="C15" s="6" t="s">
        <v>6</v>
      </c>
      <c r="D15" s="1" t="s">
        <v>7</v>
      </c>
      <c r="E15" s="6" t="s">
        <v>8</v>
      </c>
      <c r="F15" s="1" t="s">
        <v>1</v>
      </c>
      <c r="G15" s="1" t="s">
        <v>0</v>
      </c>
      <c r="H15" s="2" t="s">
        <v>26</v>
      </c>
      <c r="I15" s="10" t="s">
        <v>27</v>
      </c>
    </row>
    <row r="16" spans="1:9" x14ac:dyDescent="0.25">
      <c r="A16" s="1" t="s">
        <v>9</v>
      </c>
      <c r="B16">
        <v>499</v>
      </c>
      <c r="C16">
        <v>660</v>
      </c>
      <c r="D16">
        <v>1535</v>
      </c>
      <c r="E16">
        <v>1031</v>
      </c>
      <c r="F16">
        <v>31</v>
      </c>
      <c r="G16">
        <v>42</v>
      </c>
      <c r="H16">
        <v>708</v>
      </c>
      <c r="I16">
        <v>327</v>
      </c>
    </row>
    <row r="17" spans="1:9" x14ac:dyDescent="0.25">
      <c r="A17" s="1" t="s">
        <v>10</v>
      </c>
      <c r="B17">
        <v>668</v>
      </c>
      <c r="C17">
        <v>384</v>
      </c>
      <c r="D17">
        <v>1052</v>
      </c>
      <c r="E17">
        <v>1063</v>
      </c>
      <c r="F17">
        <v>8</v>
      </c>
      <c r="G17">
        <v>26</v>
      </c>
      <c r="H17">
        <v>1031</v>
      </c>
      <c r="I17">
        <v>258</v>
      </c>
    </row>
    <row r="18" spans="1:9" x14ac:dyDescent="0.25">
      <c r="A18" s="1" t="s">
        <v>11</v>
      </c>
      <c r="B18">
        <v>260</v>
      </c>
      <c r="C18">
        <v>438</v>
      </c>
      <c r="D18">
        <v>1084</v>
      </c>
      <c r="E18">
        <v>1108</v>
      </c>
      <c r="F18">
        <v>13</v>
      </c>
      <c r="G18">
        <v>34</v>
      </c>
      <c r="H18">
        <v>782</v>
      </c>
      <c r="I18">
        <v>577</v>
      </c>
    </row>
    <row r="19" spans="1:9" x14ac:dyDescent="0.25">
      <c r="A19" s="1" t="s">
        <v>12</v>
      </c>
      <c r="B19">
        <v>273</v>
      </c>
      <c r="C19">
        <v>206</v>
      </c>
      <c r="D19">
        <v>1322</v>
      </c>
      <c r="E19">
        <v>970</v>
      </c>
      <c r="F19">
        <v>7</v>
      </c>
      <c r="G19">
        <v>44</v>
      </c>
      <c r="H19">
        <v>679</v>
      </c>
      <c r="I19">
        <v>326</v>
      </c>
    </row>
    <row r="20" spans="1:9" x14ac:dyDescent="0.25">
      <c r="A20" s="1" t="s">
        <v>13</v>
      </c>
      <c r="B20">
        <v>592</v>
      </c>
      <c r="C20">
        <v>341</v>
      </c>
      <c r="D20">
        <v>1670</v>
      </c>
      <c r="E20">
        <v>1064</v>
      </c>
      <c r="F20">
        <v>10</v>
      </c>
      <c r="G20">
        <v>124</v>
      </c>
      <c r="H20">
        <v>962</v>
      </c>
      <c r="I20">
        <v>356</v>
      </c>
    </row>
    <row r="24" spans="1:9" x14ac:dyDescent="0.25">
      <c r="A24" s="14" t="s">
        <v>20</v>
      </c>
      <c r="B24" s="14"/>
      <c r="C24" s="14"/>
      <c r="D24" s="14"/>
      <c r="E24" s="14"/>
      <c r="F24" s="14"/>
      <c r="G24" s="14"/>
    </row>
    <row r="25" spans="1:9" x14ac:dyDescent="0.25">
      <c r="A25" s="16" t="s">
        <v>2</v>
      </c>
      <c r="B25" s="17"/>
      <c r="C25" s="17"/>
      <c r="D25" s="17"/>
      <c r="E25" s="17"/>
      <c r="F25" s="17"/>
      <c r="G25" s="18"/>
    </row>
    <row r="26" spans="1:9" ht="60" x14ac:dyDescent="0.25">
      <c r="A26" s="7"/>
      <c r="B26" s="1" t="s">
        <v>5</v>
      </c>
      <c r="C26" s="6" t="s">
        <v>6</v>
      </c>
      <c r="D26" s="1" t="s">
        <v>7</v>
      </c>
      <c r="E26" s="6" t="s">
        <v>8</v>
      </c>
      <c r="F26" s="1" t="s">
        <v>1</v>
      </c>
      <c r="G26" s="1" t="s">
        <v>0</v>
      </c>
      <c r="H26" s="2" t="s">
        <v>26</v>
      </c>
      <c r="I26" s="10" t="s">
        <v>27</v>
      </c>
    </row>
    <row r="27" spans="1:9" x14ac:dyDescent="0.25">
      <c r="A27" s="1" t="s">
        <v>9</v>
      </c>
      <c r="B27">
        <v>353</v>
      </c>
      <c r="C27">
        <v>306</v>
      </c>
      <c r="D27">
        <v>2999</v>
      </c>
      <c r="E27">
        <v>1210</v>
      </c>
      <c r="F27">
        <v>7</v>
      </c>
      <c r="G27">
        <v>62</v>
      </c>
      <c r="H27">
        <v>33</v>
      </c>
      <c r="I27">
        <v>17</v>
      </c>
    </row>
    <row r="28" spans="1:9" x14ac:dyDescent="0.25">
      <c r="A28" s="1" t="s">
        <v>10</v>
      </c>
      <c r="B28">
        <v>472</v>
      </c>
      <c r="C28">
        <v>390</v>
      </c>
      <c r="D28">
        <v>2646</v>
      </c>
      <c r="E28">
        <v>1107</v>
      </c>
      <c r="F28">
        <v>18</v>
      </c>
      <c r="G28">
        <v>29</v>
      </c>
      <c r="H28">
        <v>50</v>
      </c>
      <c r="I28">
        <v>6</v>
      </c>
    </row>
    <row r="29" spans="1:9" x14ac:dyDescent="0.25">
      <c r="A29" s="1" t="s">
        <v>11</v>
      </c>
      <c r="B29">
        <v>422</v>
      </c>
      <c r="C29">
        <v>271</v>
      </c>
      <c r="D29">
        <v>2870</v>
      </c>
      <c r="E29">
        <v>1089</v>
      </c>
      <c r="F29">
        <v>17</v>
      </c>
      <c r="G29">
        <v>24</v>
      </c>
      <c r="H29">
        <v>27</v>
      </c>
      <c r="I29">
        <v>9</v>
      </c>
    </row>
    <row r="30" spans="1:9" x14ac:dyDescent="0.25">
      <c r="A30" s="1" t="s">
        <v>12</v>
      </c>
      <c r="B30">
        <v>441</v>
      </c>
      <c r="C30">
        <v>287</v>
      </c>
      <c r="D30">
        <v>2837</v>
      </c>
      <c r="E30">
        <v>1078</v>
      </c>
      <c r="F30">
        <v>9</v>
      </c>
      <c r="G30">
        <v>30</v>
      </c>
      <c r="H30">
        <v>27</v>
      </c>
      <c r="I30">
        <v>12</v>
      </c>
    </row>
    <row r="31" spans="1:9" x14ac:dyDescent="0.25">
      <c r="A31" s="1" t="s">
        <v>13</v>
      </c>
      <c r="B31">
        <v>524</v>
      </c>
      <c r="C31">
        <v>494</v>
      </c>
      <c r="D31">
        <v>3070</v>
      </c>
      <c r="E31">
        <v>1159</v>
      </c>
      <c r="F31">
        <v>8</v>
      </c>
      <c r="G31">
        <v>109</v>
      </c>
      <c r="H31">
        <v>29</v>
      </c>
      <c r="I31">
        <v>16</v>
      </c>
    </row>
    <row r="36" spans="1:9" x14ac:dyDescent="0.25">
      <c r="A36" s="14" t="s">
        <v>21</v>
      </c>
      <c r="B36" s="14"/>
      <c r="C36" s="14"/>
      <c r="D36" s="14"/>
      <c r="E36" s="14"/>
      <c r="F36" s="14"/>
      <c r="G36" s="14"/>
    </row>
    <row r="37" spans="1:9" x14ac:dyDescent="0.25">
      <c r="A37" s="16" t="s">
        <v>2</v>
      </c>
      <c r="B37" s="17"/>
      <c r="C37" s="17"/>
      <c r="D37" s="17"/>
      <c r="E37" s="17"/>
      <c r="F37" s="17"/>
      <c r="G37" s="18"/>
    </row>
    <row r="38" spans="1:9" ht="60" x14ac:dyDescent="0.25">
      <c r="A38" s="7"/>
      <c r="B38" s="1" t="s">
        <v>5</v>
      </c>
      <c r="C38" s="6" t="s">
        <v>6</v>
      </c>
      <c r="D38" s="1" t="s">
        <v>7</v>
      </c>
      <c r="E38" s="6" t="s">
        <v>8</v>
      </c>
      <c r="F38" s="1" t="s">
        <v>1</v>
      </c>
      <c r="G38" s="1" t="s">
        <v>0</v>
      </c>
      <c r="H38" s="2" t="s">
        <v>26</v>
      </c>
      <c r="I38" s="10" t="s">
        <v>27</v>
      </c>
    </row>
    <row r="39" spans="1:9" x14ac:dyDescent="0.25">
      <c r="A39" s="1" t="s">
        <v>9</v>
      </c>
      <c r="B39">
        <v>445</v>
      </c>
      <c r="C39">
        <v>461</v>
      </c>
      <c r="D39">
        <v>1994</v>
      </c>
      <c r="E39">
        <v>1081</v>
      </c>
      <c r="F39">
        <v>34</v>
      </c>
      <c r="G39">
        <v>62</v>
      </c>
      <c r="H39">
        <v>1309</v>
      </c>
      <c r="I39">
        <v>1235</v>
      </c>
    </row>
    <row r="40" spans="1:9" x14ac:dyDescent="0.25">
      <c r="A40" s="1" t="s">
        <v>10</v>
      </c>
      <c r="B40">
        <v>377</v>
      </c>
      <c r="C40">
        <v>450</v>
      </c>
      <c r="D40">
        <v>1981</v>
      </c>
      <c r="E40">
        <v>1115</v>
      </c>
      <c r="F40">
        <v>8</v>
      </c>
      <c r="G40">
        <v>59</v>
      </c>
      <c r="H40">
        <v>1324</v>
      </c>
      <c r="I40">
        <v>917</v>
      </c>
    </row>
    <row r="41" spans="1:9" x14ac:dyDescent="0.25">
      <c r="A41" s="1" t="s">
        <v>11</v>
      </c>
      <c r="B41">
        <v>312</v>
      </c>
      <c r="C41">
        <v>364</v>
      </c>
      <c r="D41">
        <v>1653</v>
      </c>
      <c r="E41">
        <v>1087</v>
      </c>
      <c r="F41">
        <v>18</v>
      </c>
      <c r="G41">
        <v>59</v>
      </c>
      <c r="H41">
        <v>1020</v>
      </c>
      <c r="I41">
        <v>816</v>
      </c>
    </row>
    <row r="42" spans="1:9" x14ac:dyDescent="0.25">
      <c r="A42" s="1" t="s">
        <v>12</v>
      </c>
      <c r="B42">
        <v>317</v>
      </c>
      <c r="C42">
        <v>438</v>
      </c>
      <c r="D42">
        <v>1752</v>
      </c>
      <c r="E42">
        <v>1040</v>
      </c>
      <c r="F42">
        <v>12</v>
      </c>
      <c r="G42">
        <v>43</v>
      </c>
      <c r="H42">
        <v>2128</v>
      </c>
      <c r="I42">
        <v>743</v>
      </c>
    </row>
    <row r="43" spans="1:9" x14ac:dyDescent="0.25">
      <c r="A43" s="1" t="s">
        <v>13</v>
      </c>
      <c r="B43">
        <v>116</v>
      </c>
      <c r="C43">
        <v>421</v>
      </c>
      <c r="D43">
        <v>1982</v>
      </c>
      <c r="E43">
        <v>1102</v>
      </c>
      <c r="F43">
        <v>22</v>
      </c>
      <c r="G43">
        <v>55</v>
      </c>
      <c r="H43">
        <v>939</v>
      </c>
      <c r="I43">
        <v>538</v>
      </c>
    </row>
    <row r="48" spans="1:9" x14ac:dyDescent="0.25">
      <c r="A48" s="14" t="s">
        <v>22</v>
      </c>
      <c r="B48" s="14"/>
      <c r="C48" s="14"/>
      <c r="D48" s="14"/>
      <c r="E48" s="14"/>
      <c r="F48" s="14"/>
      <c r="G48" s="14"/>
    </row>
    <row r="49" spans="1:9" x14ac:dyDescent="0.25">
      <c r="A49" s="16" t="s">
        <v>2</v>
      </c>
      <c r="B49" s="17"/>
      <c r="C49" s="17"/>
      <c r="D49" s="17"/>
      <c r="E49" s="17"/>
      <c r="F49" s="17"/>
      <c r="G49" s="18"/>
    </row>
    <row r="50" spans="1:9" ht="60" x14ac:dyDescent="0.25">
      <c r="A50" s="7"/>
      <c r="B50" s="1" t="s">
        <v>5</v>
      </c>
      <c r="C50" s="6" t="s">
        <v>6</v>
      </c>
      <c r="D50" s="1" t="s">
        <v>7</v>
      </c>
      <c r="E50" s="6" t="s">
        <v>8</v>
      </c>
      <c r="F50" s="1" t="s">
        <v>1</v>
      </c>
      <c r="G50" s="1" t="s">
        <v>0</v>
      </c>
      <c r="H50" s="2" t="s">
        <v>26</v>
      </c>
      <c r="I50" s="10" t="s">
        <v>27</v>
      </c>
    </row>
    <row r="51" spans="1:9" x14ac:dyDescent="0.25">
      <c r="A51" s="1" t="s">
        <v>9</v>
      </c>
      <c r="B51">
        <v>140</v>
      </c>
      <c r="C51">
        <v>244</v>
      </c>
      <c r="D51">
        <v>2594</v>
      </c>
      <c r="E51">
        <v>874</v>
      </c>
      <c r="F51">
        <v>25</v>
      </c>
      <c r="G51">
        <v>50</v>
      </c>
      <c r="H51">
        <v>1124</v>
      </c>
      <c r="I51">
        <v>1270</v>
      </c>
    </row>
    <row r="52" spans="1:9" x14ac:dyDescent="0.25">
      <c r="A52" s="1" t="s">
        <v>10</v>
      </c>
      <c r="B52">
        <v>206</v>
      </c>
      <c r="C52">
        <v>81</v>
      </c>
      <c r="D52">
        <v>2519</v>
      </c>
      <c r="E52">
        <v>838</v>
      </c>
      <c r="F52">
        <v>24</v>
      </c>
      <c r="G52">
        <v>36</v>
      </c>
      <c r="H52">
        <v>1358</v>
      </c>
      <c r="I52">
        <v>992</v>
      </c>
    </row>
    <row r="53" spans="1:9" x14ac:dyDescent="0.25">
      <c r="A53" s="1" t="s">
        <v>11</v>
      </c>
      <c r="B53">
        <v>173</v>
      </c>
      <c r="C53">
        <v>332</v>
      </c>
      <c r="D53">
        <v>2882</v>
      </c>
      <c r="E53">
        <v>982</v>
      </c>
      <c r="F53">
        <v>16</v>
      </c>
      <c r="G53">
        <v>36</v>
      </c>
      <c r="H53">
        <v>1021</v>
      </c>
      <c r="I53">
        <v>1441</v>
      </c>
    </row>
    <row r="54" spans="1:9" x14ac:dyDescent="0.25">
      <c r="A54" s="1" t="s">
        <v>12</v>
      </c>
      <c r="B54">
        <v>132</v>
      </c>
      <c r="C54">
        <v>264</v>
      </c>
      <c r="D54">
        <v>2503</v>
      </c>
      <c r="E54">
        <v>827</v>
      </c>
      <c r="F54">
        <v>34</v>
      </c>
      <c r="G54">
        <v>44</v>
      </c>
      <c r="H54">
        <v>1089</v>
      </c>
      <c r="I54">
        <v>1253</v>
      </c>
    </row>
    <row r="55" spans="1:9" x14ac:dyDescent="0.25">
      <c r="A55" s="1" t="s">
        <v>13</v>
      </c>
      <c r="B55">
        <v>193</v>
      </c>
      <c r="C55">
        <v>344</v>
      </c>
      <c r="D55">
        <v>2559</v>
      </c>
      <c r="E55">
        <v>783</v>
      </c>
      <c r="F55">
        <v>27</v>
      </c>
      <c r="G55">
        <v>25</v>
      </c>
      <c r="H55">
        <v>507</v>
      </c>
      <c r="I55">
        <v>451</v>
      </c>
    </row>
    <row r="59" spans="1:9" x14ac:dyDescent="0.25">
      <c r="A59" s="15" t="s">
        <v>23</v>
      </c>
      <c r="B59" s="15"/>
      <c r="C59" s="15"/>
      <c r="D59" s="15"/>
      <c r="E59" s="15"/>
      <c r="F59" s="15"/>
      <c r="G59" s="15"/>
    </row>
    <row r="60" spans="1:9" x14ac:dyDescent="0.25">
      <c r="A60" s="16" t="s">
        <v>2</v>
      </c>
      <c r="B60" s="17"/>
      <c r="C60" s="17"/>
      <c r="D60" s="17"/>
      <c r="E60" s="17"/>
      <c r="F60" s="17"/>
      <c r="G60" s="18"/>
    </row>
    <row r="61" spans="1:9" ht="60" x14ac:dyDescent="0.25">
      <c r="A61" s="9"/>
      <c r="B61" s="1" t="s">
        <v>5</v>
      </c>
      <c r="C61" s="6" t="s">
        <v>6</v>
      </c>
      <c r="D61" s="1" t="s">
        <v>7</v>
      </c>
      <c r="E61" s="6" t="s">
        <v>8</v>
      </c>
      <c r="F61" s="1" t="s">
        <v>1</v>
      </c>
      <c r="G61" s="1" t="s">
        <v>0</v>
      </c>
      <c r="H61" s="2" t="s">
        <v>33</v>
      </c>
      <c r="I61" s="10" t="s">
        <v>32</v>
      </c>
    </row>
    <row r="62" spans="1:9" x14ac:dyDescent="0.25">
      <c r="A62" s="2">
        <v>0.7</v>
      </c>
      <c r="B62">
        <f t="shared" ref="B62:G62" si="0">AVERAGE(B4:B8)</f>
        <v>246</v>
      </c>
      <c r="C62">
        <f t="shared" si="0"/>
        <v>440</v>
      </c>
      <c r="D62">
        <f t="shared" si="0"/>
        <v>1032.5999999999999</v>
      </c>
      <c r="E62">
        <f t="shared" si="0"/>
        <v>1096</v>
      </c>
      <c r="F62">
        <f t="shared" si="0"/>
        <v>19.8</v>
      </c>
      <c r="G62">
        <f t="shared" si="0"/>
        <v>38.799999999999997</v>
      </c>
      <c r="H62">
        <f>AVERAGE(H4:H8)</f>
        <v>1203.8</v>
      </c>
      <c r="I62">
        <f>AVERAGE(I4:I8)</f>
        <v>888</v>
      </c>
    </row>
    <row r="63" spans="1:9" x14ac:dyDescent="0.25">
      <c r="A63" s="3">
        <v>0.3</v>
      </c>
      <c r="B63">
        <f t="shared" ref="B63:G63" si="1">AVERAGE(B16:B20)</f>
        <v>458.4</v>
      </c>
      <c r="C63">
        <f t="shared" si="1"/>
        <v>405.8</v>
      </c>
      <c r="D63">
        <f t="shared" si="1"/>
        <v>1332.6</v>
      </c>
      <c r="E63">
        <f t="shared" si="1"/>
        <v>1047.2</v>
      </c>
      <c r="F63">
        <f t="shared" si="1"/>
        <v>13.8</v>
      </c>
      <c r="G63">
        <f t="shared" si="1"/>
        <v>54</v>
      </c>
      <c r="H63">
        <f>AVERAGE(H16:H20)</f>
        <v>832.4</v>
      </c>
      <c r="I63">
        <f>AVERAGE(I16:I20)</f>
        <v>368.8</v>
      </c>
    </row>
    <row r="64" spans="1:9" x14ac:dyDescent="0.25">
      <c r="A64" s="3">
        <v>0</v>
      </c>
      <c r="B64">
        <f t="shared" ref="B64:G64" si="2">AVERAGE(B27:B31)</f>
        <v>442.4</v>
      </c>
      <c r="C64">
        <f t="shared" si="2"/>
        <v>349.6</v>
      </c>
      <c r="D64">
        <f t="shared" si="2"/>
        <v>2884.4</v>
      </c>
      <c r="E64">
        <f t="shared" si="2"/>
        <v>1128.5999999999999</v>
      </c>
      <c r="F64">
        <f t="shared" si="2"/>
        <v>11.8</v>
      </c>
      <c r="G64">
        <f t="shared" si="2"/>
        <v>50.8</v>
      </c>
      <c r="H64">
        <f>AVERAGE(H27:H31)</f>
        <v>33.200000000000003</v>
      </c>
      <c r="I64">
        <f>AVERAGE(I27:I31)</f>
        <v>12</v>
      </c>
    </row>
    <row r="65" spans="1:9" x14ac:dyDescent="0.25">
      <c r="A65" s="3">
        <v>-0.3</v>
      </c>
      <c r="B65">
        <f t="shared" ref="B65:G65" si="3">AVERAGE(B39:B43)</f>
        <v>313.39999999999998</v>
      </c>
      <c r="C65">
        <f t="shared" si="3"/>
        <v>426.8</v>
      </c>
      <c r="D65">
        <f t="shared" si="3"/>
        <v>1872.4</v>
      </c>
      <c r="E65">
        <f t="shared" si="3"/>
        <v>1085</v>
      </c>
      <c r="F65">
        <f t="shared" si="3"/>
        <v>18.8</v>
      </c>
      <c r="G65">
        <f t="shared" si="3"/>
        <v>55.6</v>
      </c>
      <c r="H65">
        <f>AVERAGE(H39:H43)</f>
        <v>1344</v>
      </c>
      <c r="I65">
        <f>AVERAGE(I39:I43)</f>
        <v>849.8</v>
      </c>
    </row>
    <row r="66" spans="1:9" x14ac:dyDescent="0.25">
      <c r="A66" s="3">
        <v>-0.7</v>
      </c>
      <c r="B66">
        <f t="shared" ref="B66:G66" si="4">AVERAGE(B51:B55)</f>
        <v>168.8</v>
      </c>
      <c r="C66">
        <f t="shared" si="4"/>
        <v>253</v>
      </c>
      <c r="D66">
        <f t="shared" si="4"/>
        <v>2611.4</v>
      </c>
      <c r="E66">
        <f t="shared" si="4"/>
        <v>860.8</v>
      </c>
      <c r="F66">
        <f t="shared" si="4"/>
        <v>25.2</v>
      </c>
      <c r="G66">
        <f t="shared" si="4"/>
        <v>38.200000000000003</v>
      </c>
      <c r="H66">
        <f>AVERAGE(H51:H55)</f>
        <v>1019.8</v>
      </c>
      <c r="I66">
        <f>AVERAGE(I51:I55)</f>
        <v>1081.4000000000001</v>
      </c>
    </row>
  </sheetData>
  <mergeCells count="12">
    <mergeCell ref="A60:G60"/>
    <mergeCell ref="A36:G36"/>
    <mergeCell ref="A37:G37"/>
    <mergeCell ref="A48:G48"/>
    <mergeCell ref="A49:G49"/>
    <mergeCell ref="A59:G59"/>
    <mergeCell ref="A25:G25"/>
    <mergeCell ref="A1:G1"/>
    <mergeCell ref="A2:G2"/>
    <mergeCell ref="A13:G13"/>
    <mergeCell ref="A14:G14"/>
    <mergeCell ref="A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2024-07-31T23:34:45Z</dcterms:created>
  <dcterms:modified xsi:type="dcterms:W3CDTF">2025-01-29T16:32:53Z</dcterms:modified>
</cp:coreProperties>
</file>
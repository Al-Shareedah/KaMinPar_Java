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K Size\"/>
    </mc:Choice>
  </mc:AlternateContent>
  <xr:revisionPtr revIDLastSave="0" documentId="13_ncr:1_{13086B56-E227-44C8-9029-FCFA40A3FAC2}" xr6:coauthVersionLast="47" xr6:coauthVersionMax="47" xr10:uidLastSave="{00000000-0000-0000-0000-000000000000}"/>
  <bookViews>
    <workbookView xWindow="28680" yWindow="-210" windowWidth="29040" windowHeight="15720" xr2:uid="{00000000-000D-0000-FFFF-FFFF00000000}"/>
  </bookViews>
  <sheets>
    <sheet name="Edge Cuts" sheetId="1" r:id="rId1"/>
    <sheet name="Runtimes" sheetId="3" r:id="rId2"/>
    <sheet name="CCM" sheetId="5" r:id="rId3"/>
    <sheet name="Contiguit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I60" i="1"/>
  <c r="I61" i="1"/>
  <c r="I58" i="1"/>
  <c r="H59" i="1"/>
  <c r="H60" i="1"/>
  <c r="H61" i="1"/>
  <c r="H58" i="1"/>
  <c r="H51" i="6"/>
  <c r="H52" i="6"/>
  <c r="H53" i="6"/>
  <c r="H54" i="6"/>
  <c r="I54" i="6"/>
  <c r="I51" i="6"/>
  <c r="I52" i="6"/>
  <c r="I53" i="6"/>
  <c r="N100" i="5"/>
  <c r="N97" i="5"/>
  <c r="N98" i="5"/>
  <c r="N99" i="5"/>
  <c r="N92" i="5"/>
  <c r="N91" i="5"/>
  <c r="N90" i="5"/>
  <c r="N89" i="5"/>
  <c r="M90" i="5"/>
  <c r="M91" i="5"/>
  <c r="M92" i="5"/>
  <c r="M89" i="5"/>
  <c r="L91" i="5"/>
  <c r="I56" i="3"/>
  <c r="I57" i="3"/>
  <c r="I58" i="3"/>
  <c r="I55" i="3"/>
  <c r="H58" i="3"/>
  <c r="H57" i="3"/>
  <c r="H56" i="3"/>
  <c r="H55" i="3"/>
  <c r="I52" i="1"/>
  <c r="K61" i="1" s="1"/>
  <c r="I51" i="1"/>
  <c r="K60" i="1" s="1"/>
  <c r="I50" i="1"/>
  <c r="K59" i="1" s="1"/>
  <c r="I49" i="1"/>
  <c r="K58" i="1" s="1"/>
  <c r="H52" i="1"/>
  <c r="J61" i="1" s="1"/>
  <c r="H51" i="1"/>
  <c r="J60" i="1" s="1"/>
  <c r="H50" i="1"/>
  <c r="J59" i="1" s="1"/>
  <c r="H49" i="1"/>
  <c r="J58" i="1" s="1"/>
  <c r="G49" i="1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L100" i="5"/>
  <c r="K100" i="5"/>
  <c r="J100" i="5"/>
  <c r="L99" i="5"/>
  <c r="K99" i="5"/>
  <c r="J99" i="5"/>
  <c r="K98" i="5"/>
  <c r="J98" i="5"/>
  <c r="K97" i="5"/>
  <c r="J97" i="5"/>
  <c r="L92" i="5"/>
  <c r="K92" i="5"/>
  <c r="J92" i="5"/>
  <c r="K91" i="5"/>
  <c r="J91" i="5"/>
  <c r="K90" i="5"/>
  <c r="J90" i="5"/>
  <c r="K89" i="5"/>
  <c r="J89" i="5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B49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F49" i="1"/>
  <c r="E49" i="1"/>
  <c r="D49" i="1"/>
  <c r="C49" i="1"/>
</calcChain>
</file>

<file path=xl/sharedStrings.xml><?xml version="1.0" encoding="utf-8"?>
<sst xmlns="http://schemas.openxmlformats.org/spreadsheetml/2006/main" count="375" uniqueCount="50">
  <si>
    <t>Proposed w/PRRP w/o ILP</t>
  </si>
  <si>
    <t>Proposed w/PRRP</t>
  </si>
  <si>
    <t>Proposed w/o merge and split w/ ILP</t>
  </si>
  <si>
    <t>Proposed w/o merge and split w/o ILP</t>
  </si>
  <si>
    <t>KaMinPar</t>
  </si>
  <si>
    <t>Result 1</t>
  </si>
  <si>
    <t>Result 2</t>
  </si>
  <si>
    <t>Result 3</t>
  </si>
  <si>
    <t>Result 4</t>
  </si>
  <si>
    <t>Result 5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</si>
  <si>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</si>
  <si>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</si>
  <si>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</si>
  <si>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</si>
  <si>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KaHIP</t>
  </si>
  <si>
    <t>f = [0.7, 0.3, 0, -0.3, -0.7]</t>
  </si>
  <si>
    <t>K = 2, Graph = Email, Contraction = 70%, Cardinality Sizes = [491, 642] at f = 0.3</t>
  </si>
  <si>
    <t>Edge Cut</t>
  </si>
  <si>
    <t>High Positive</t>
  </si>
  <si>
    <t>Positive</t>
  </si>
  <si>
    <t>Symmetric</t>
  </si>
  <si>
    <t>Negative</t>
  </si>
  <si>
    <t>High Negative</t>
  </si>
  <si>
    <t>Percentage of partitions not meeting desired size</t>
  </si>
  <si>
    <t>Average percentage by which partitions missed the desired size</t>
  </si>
  <si>
    <t>[No. Partitions not meeting size / Total No. Partitions (4)] * 100</t>
  </si>
  <si>
    <t>CCM</t>
  </si>
  <si>
    <t>Run Time (S)</t>
  </si>
  <si>
    <t>Number of Connected Components</t>
  </si>
  <si>
    <t>K = 4, Graph = Email, Contraction = 70%, Cardinality Sizes = [183, 238, 309, 403] at f = 0.3</t>
  </si>
  <si>
    <t>K = 8, Graph = Email, Contraction = 70%, Cardinality Sizes = [47, 62, 80, 104, 136, 176, 229, 299] at f = 0.3</t>
  </si>
  <si>
    <t>K =16, Graph = Email, Contraction = 70%, Cardinality Sizes = [5, 7, 9, 11, 15, 19, 25, 33, 42, 55, 71, 93, 121, 157, 204, 266] at f = 0.3</t>
  </si>
  <si>
    <t>Average</t>
  </si>
  <si>
    <t>K= 2</t>
  </si>
  <si>
    <t>K= 4</t>
  </si>
  <si>
    <t>K= 8</t>
  </si>
  <si>
    <t>K= 16</t>
  </si>
  <si>
    <t>Average Results</t>
  </si>
  <si>
    <t>Deep Multilevel, epislon = 0.0</t>
  </si>
  <si>
    <t>Deep Multilevel, epislon = 0.05</t>
  </si>
  <si>
    <t>Deep Multilevel, ε= 0.0</t>
  </si>
  <si>
    <t>Deep Multilevel, ε = 0.05</t>
  </si>
  <si>
    <t>Deep Multilevel, ε = 5</t>
  </si>
  <si>
    <t>Deep Multilevel, ε= 0</t>
  </si>
  <si>
    <t>Deep Multilevel, ε = 0</t>
  </si>
  <si>
    <t>K = 2, Graph = Email, Contraction = 70%, Cardinality Sizes = [491, 642] at f = 0.3, CL= 340</t>
  </si>
  <si>
    <t>Deep Multilevel, epislon = 57</t>
  </si>
  <si>
    <t>Deep Multilevel, epislon =22</t>
  </si>
  <si>
    <t>Deep NUGP, ε = 57</t>
  </si>
  <si>
    <t>Deep NUGP, ε=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</si>
</sst>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1" applyNumberFormat="1" applyFont="1"/>
    <xf numFmtId="9" fontId="0" fillId="0" borderId="0" xfId="1" applyFont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3" xfId="0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Cuts'!$F$48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Cuts'!$F$49:$F$52</c:f>
              <c:numCache>
                <c:formatCode>General</c:formatCode>
                <c:ptCount val="4"/>
                <c:pt idx="0">
                  <c:v>935.6</c:v>
                </c:pt>
                <c:pt idx="1">
                  <c:v>1435</c:v>
                </c:pt>
                <c:pt idx="2">
                  <c:v>1880.2</c:v>
                </c:pt>
                <c:pt idx="3">
                  <c:v>2311.6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65-4640-8A22-24B5212A56F9}"/>
            </c:ext>
          </c:extLst>
        </c:ser>
        <c:ser>
          <c:idx val="5"/>
          <c:order val="5"/>
          <c:tx>
            <c:strRef>
              <c:f>'Edge Cuts'!$G$48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Cuts'!$G$49:$G$52</c:f>
              <c:numCache>
                <c:formatCode>General</c:formatCode>
                <c:ptCount val="4"/>
                <c:pt idx="0">
                  <c:v>704</c:v>
                </c:pt>
                <c:pt idx="1">
                  <c:v>1332.2</c:v>
                </c:pt>
                <c:pt idx="2">
                  <c:v>1750.8</c:v>
                </c:pt>
                <c:pt idx="3">
                  <c:v>2226.8000000000002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65-4640-8A22-24B5212A56F9}"/>
            </c:ext>
          </c:extLst>
        </c:ser>
        <c:ser>
          <c:idx val="6"/>
          <c:order val="6"/>
          <c:tx>
            <c:strRef>
              <c:f>'Edge Cuts'!$H$48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Cuts'!$H$49:$H$52</c:f>
              <c:numCache>
                <c:formatCode>General</c:formatCode>
                <c:ptCount val="4"/>
                <c:pt idx="0">
                  <c:v>773</c:v>
                </c:pt>
                <c:pt idx="1">
                  <c:v>1258.4000000000001</c:v>
                </c:pt>
                <c:pt idx="2">
                  <c:v>1634.6</c:v>
                </c:pt>
                <c:pt idx="3">
                  <c:v>2277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6F-4330-A28C-A538E8D3DF46}"/>
            </c:ext>
          </c:extLst>
        </c:ser>
        <c:ser>
          <c:idx val="7"/>
          <c:order val="7"/>
          <c:tx>
            <c:strRef>
              <c:f>'Edge Cuts'!$I$48</c:f>
              <c:strCache>
                <c:ptCount val="1"/>
                <c:pt idx="0">
                  <c:v>Deep NUGP, ε = 57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Cuts'!$I$49:$I$52</c:f>
              <c:numCache>
                <c:formatCode>General</c:formatCode>
                <c:ptCount val="4"/>
                <c:pt idx="0">
                  <c:v>761.2</c:v>
                </c:pt>
                <c:pt idx="1">
                  <c:v>1251</c:v>
                </c:pt>
                <c:pt idx="2">
                  <c:v>1583</c:v>
                </c:pt>
                <c:pt idx="3">
                  <c:v>2279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6F-4330-A28C-A538E8D3D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046336"/>
        <c:axId val="12210376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Cuts'!$B$48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Cuts'!$B$49:$B$52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1870.4</c:v>
                      </c:pt>
                      <c:pt idx="1">
                        <c:v>2673.2</c:v>
                      </c:pt>
                      <c:pt idx="2">
                        <c:v>2734.6</c:v>
                      </c:pt>
                      <c:pt idx="3">
                        <c:v>3270.4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F65-4640-8A22-24B5212A56F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Cuts'!$C$49:$C$52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1754.2</c:v>
                      </c:pt>
                      <c:pt idx="1">
                        <c:v>2666.8</c:v>
                      </c:pt>
                      <c:pt idx="2">
                        <c:v>2839.8</c:v>
                      </c:pt>
                      <c:pt idx="3">
                        <c:v>3310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F65-4640-8A22-24B5212A56F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Cuts'!$D$49:$D$52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1926.6</c:v>
                      </c:pt>
                      <c:pt idx="1">
                        <c:v>2871.4</c:v>
                      </c:pt>
                      <c:pt idx="2">
                        <c:v>3015.4</c:v>
                      </c:pt>
                      <c:pt idx="3">
                        <c:v>3068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65-4640-8A22-24B5212A56F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Cuts'!$E$49:$E$52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1947.2</c:v>
                      </c:pt>
                      <c:pt idx="1">
                        <c:v>2838.6</c:v>
                      </c:pt>
                      <c:pt idx="2">
                        <c:v>3017.6</c:v>
                      </c:pt>
                      <c:pt idx="3">
                        <c:v>3109.8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65-4640-8A22-24B5212A56F9}"/>
                  </c:ext>
                </c:extLst>
              </c15:ser>
            </c15:filteredScatterSeries>
          </c:ext>
        </c:extLst>
      </c:scatterChart>
      <c:valAx>
        <c:axId val="12210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37696"/>
        <c:crosses val="autoZero"/>
        <c:crossBetween val="midCat"/>
      </c:valAx>
      <c:valAx>
        <c:axId val="12210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4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Cuts'!$H$57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Cuts'!$G$58:$G$61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Cuts'!$H$58:$H$61</c:f>
              <c:numCache>
                <c:formatCode>0%</c:formatCode>
                <c:ptCount val="4"/>
                <c:pt idx="0">
                  <c:v>-0.32897727272727278</c:v>
                </c:pt>
                <c:pt idx="1">
                  <c:v>-7.7165590752139288E-2</c:v>
                </c:pt>
                <c:pt idx="2">
                  <c:v>-7.3909070139364916E-2</c:v>
                </c:pt>
                <c:pt idx="3">
                  <c:v>-3.8081552002873956E-2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8-4273-A9A7-7BFDD1D0DC84}"/>
            </c:ext>
          </c:extLst>
        </c:ser>
        <c:ser>
          <c:idx val="1"/>
          <c:order val="1"/>
          <c:tx>
            <c:strRef>
              <c:f>'Edge Cuts'!$I$57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Cuts'!$G$58:$G$61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Cuts'!$I$58:$I$61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8-4273-A9A7-7BFDD1D0DC84}"/>
            </c:ext>
          </c:extLst>
        </c:ser>
        <c:ser>
          <c:idx val="2"/>
          <c:order val="2"/>
          <c:tx>
            <c:strRef>
              <c:f>'Edge Cuts'!$J$57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Cuts'!$G$58:$G$61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Cuts'!$J$58:$J$61</c:f>
              <c:numCache>
                <c:formatCode>0%</c:formatCode>
                <c:ptCount val="4"/>
                <c:pt idx="0">
                  <c:v>-9.8011363636363633E-2</c:v>
                </c:pt>
                <c:pt idx="1">
                  <c:v>5.5397087524395698E-2</c:v>
                </c:pt>
                <c:pt idx="2">
                  <c:v>6.636965958419011E-2</c:v>
                </c:pt>
                <c:pt idx="3">
                  <c:v>-2.2543560265852261E-2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98-4273-A9A7-7BFDD1D0DC84}"/>
            </c:ext>
          </c:extLst>
        </c:ser>
        <c:ser>
          <c:idx val="3"/>
          <c:order val="3"/>
          <c:tx>
            <c:strRef>
              <c:f>'Edge Cuts'!$K$57</c:f>
              <c:strCache>
                <c:ptCount val="1"/>
                <c:pt idx="0">
                  <c:v>Deep NUGP, ε = 57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Cuts'!$G$58:$G$61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Cuts'!$K$58:$K$61</c:f>
              <c:numCache>
                <c:formatCode>0%</c:formatCode>
                <c:ptCount val="4"/>
                <c:pt idx="0">
                  <c:v>-8.1250000000000058E-2</c:v>
                </c:pt>
                <c:pt idx="1">
                  <c:v>6.0951809037682061E-2</c:v>
                </c:pt>
                <c:pt idx="2">
                  <c:v>9.5841900845327829E-2</c:v>
                </c:pt>
                <c:pt idx="3">
                  <c:v>-2.3441710077240802E-2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98-4273-A9A7-7BFDD1D0D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29119"/>
        <c:axId val="1662117599"/>
      </c:scatterChart>
      <c:valAx>
        <c:axId val="166212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17599"/>
        <c:crosses val="autoZero"/>
        <c:crossBetween val="midCat"/>
      </c:valAx>
      <c:valAx>
        <c:axId val="16621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% of Improvment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2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Runtime as </a:t>
            </a:r>
            <a:r>
              <a:rPr lang="en-US" sz="2000" i="1"/>
              <a:t>K</a:t>
            </a:r>
            <a:r>
              <a:rPr lang="en-US" sz="2000"/>
              <a:t>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Runtimes!$F$55:$F$58</c:f>
              <c:numCache>
                <c:formatCode>General</c:formatCode>
                <c:ptCount val="4"/>
                <c:pt idx="0">
                  <c:v>0.52259999999999995</c:v>
                </c:pt>
                <c:pt idx="1">
                  <c:v>0.63960000000000006</c:v>
                </c:pt>
                <c:pt idx="2">
                  <c:v>0.76340000000000008</c:v>
                </c:pt>
                <c:pt idx="3">
                  <c:v>1.1254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43-46BE-8240-2944B29D18C5}"/>
            </c:ext>
          </c:extLst>
        </c:ser>
        <c:ser>
          <c:idx val="5"/>
          <c:order val="5"/>
          <c:tx>
            <c:strRef>
              <c:f>Runtimes!$G$54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Runtimes!$G$55:$G$58</c:f>
              <c:numCache>
                <c:formatCode>General</c:formatCode>
                <c:ptCount val="4"/>
                <c:pt idx="0">
                  <c:v>0.46800000000000008</c:v>
                </c:pt>
                <c:pt idx="1">
                  <c:v>0.80920000000000003</c:v>
                </c:pt>
                <c:pt idx="2">
                  <c:v>1.0364</c:v>
                </c:pt>
                <c:pt idx="3">
                  <c:v>1.5226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43-46BE-8240-2944B29D18C5}"/>
            </c:ext>
          </c:extLst>
        </c:ser>
        <c:ser>
          <c:idx val="6"/>
          <c:order val="6"/>
          <c:tx>
            <c:strRef>
              <c:f>Runtimes!$H$54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Runtimes!$H$55:$H$58</c:f>
              <c:numCache>
                <c:formatCode>General</c:formatCode>
                <c:ptCount val="4"/>
                <c:pt idx="0">
                  <c:v>0.63260000000000005</c:v>
                </c:pt>
                <c:pt idx="1">
                  <c:v>0.85180000000000011</c:v>
                </c:pt>
                <c:pt idx="2">
                  <c:v>1.0902000000000001</c:v>
                </c:pt>
                <c:pt idx="3">
                  <c:v>1.2802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60-4A8F-A588-7577CD3A5FB2}"/>
            </c:ext>
          </c:extLst>
        </c:ser>
        <c:ser>
          <c:idx val="7"/>
          <c:order val="7"/>
          <c:tx>
            <c:strRef>
              <c:f>Runtimes!$I$54</c:f>
              <c:strCache>
                <c:ptCount val="1"/>
                <c:pt idx="0">
                  <c:v>Deep NUGP, ε = 57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Runtimes!$I$55:$I$58</c:f>
              <c:numCache>
                <c:formatCode>General</c:formatCode>
                <c:ptCount val="4"/>
                <c:pt idx="0">
                  <c:v>0.6624000000000001</c:v>
                </c:pt>
                <c:pt idx="1">
                  <c:v>0.8256</c:v>
                </c:pt>
                <c:pt idx="2">
                  <c:v>1.1626000000000001</c:v>
                </c:pt>
                <c:pt idx="3">
                  <c:v>1.3073999999999999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60-4A8F-A588-7577CD3A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029056"/>
        <c:axId val="12210324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Runtimes!$B$54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Runtimes!$B$55:$B$58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1.35</c:v>
                      </c:pt>
                      <c:pt idx="1">
                        <c:v>2.3356000000000003</c:v>
                      </c:pt>
                      <c:pt idx="2">
                        <c:v>3.9055999999999997</c:v>
                      </c:pt>
                      <c:pt idx="3">
                        <c:v>4.0444000000000004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C43-46BE-8240-2944B29D18C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Runtimes!$C$55:$C$58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1.2576000000000001</c:v>
                      </c:pt>
                      <c:pt idx="1">
                        <c:v>2.2347999999999999</c:v>
                      </c:pt>
                      <c:pt idx="2">
                        <c:v>3.8977999999999993</c:v>
                      </c:pt>
                      <c:pt idx="3">
                        <c:v>3.8979999999999997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43-46BE-8240-2944B29D18C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Runtimes!$D$55:$D$58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0.51219999999999999</c:v>
                      </c:pt>
                      <c:pt idx="1">
                        <c:v>0.4476</c:v>
                      </c:pt>
                      <c:pt idx="2">
                        <c:v>0.51660000000000006</c:v>
                      </c:pt>
                      <c:pt idx="3">
                        <c:v>0.97000000000000008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43-46BE-8240-2944B29D18C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Runtimes!$E$55:$E$58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0.23500000000000001</c:v>
                      </c:pt>
                      <c:pt idx="1">
                        <c:v>0.25719999999999998</c:v>
                      </c:pt>
                      <c:pt idx="2">
                        <c:v>0.29339999999999999</c:v>
                      </c:pt>
                      <c:pt idx="3">
                        <c:v>0.496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43-46BE-8240-2944B29D18C5}"/>
                  </c:ext>
                </c:extLst>
              </c15:ser>
            </c15:filteredScatterSeries>
          </c:ext>
        </c:extLst>
      </c:scatterChart>
      <c:valAx>
        <c:axId val="122102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K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32416"/>
        <c:crosses val="autoZero"/>
        <c:crossBetween val="midCat"/>
      </c:valAx>
      <c:valAx>
        <c:axId val="12210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2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Mean Deviation Percentage from Desired Partition Size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CCM!$J$96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CCM!$I$97:$I$100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CCM!$J$97:$J$100</c:f>
              <c:numCache>
                <c:formatCode>0.00%</c:formatCode>
                <c:ptCount val="4"/>
                <c:pt idx="0">
                  <c:v>0.129358</c:v>
                </c:pt>
                <c:pt idx="1">
                  <c:v>0.27715199999999995</c:v>
                </c:pt>
                <c:pt idx="2">
                  <c:v>0.72483399999999998</c:v>
                </c:pt>
                <c:pt idx="3">
                  <c:v>3.0084840000000002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4B-4F08-8425-40E248F49D56}"/>
            </c:ext>
          </c:extLst>
        </c:ser>
        <c:ser>
          <c:idx val="1"/>
          <c:order val="1"/>
          <c:tx>
            <c:strRef>
              <c:f>CCM!$K$96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CCM!$I$97:$I$100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CCM!$K$97:$K$100</c:f>
              <c:numCache>
                <c:formatCode>0.00%</c:formatCode>
                <c:ptCount val="4"/>
                <c:pt idx="0">
                  <c:v>0.14325399999999999</c:v>
                </c:pt>
                <c:pt idx="1">
                  <c:v>0.28234799999999999</c:v>
                </c:pt>
                <c:pt idx="2">
                  <c:v>0.70419999999999994</c:v>
                </c:pt>
                <c:pt idx="3">
                  <c:v>3.0500479999999994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4B-4F08-8425-40E248F49D56}"/>
            </c:ext>
          </c:extLst>
        </c:ser>
        <c:ser>
          <c:idx val="3"/>
          <c:order val="3"/>
          <c:tx>
            <c:strRef>
              <c:f>CCM!$M$96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CCM!$I$97:$I$100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CCM!$M$97:$M$100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4E-45EA-9040-B5E4A7F58A7D}"/>
            </c:ext>
          </c:extLst>
        </c:ser>
        <c:ser>
          <c:idx val="4"/>
          <c:order val="4"/>
          <c:tx>
            <c:strRef>
              <c:f>CCM!$N$96</c:f>
              <c:strCache>
                <c:ptCount val="1"/>
                <c:pt idx="0">
                  <c:v>Deep Multilevel, ε = 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CCM!$I$97:$I$100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CCM!$N$97:$N$100</c:f>
              <c:numCache>
                <c:formatCode>0.000%</c:formatCode>
                <c:ptCount val="4"/>
                <c:pt idx="0">
                  <c:v>0.10242999999999999</c:v>
                </c:pt>
                <c:pt idx="1">
                  <c:v>4.0809999999999999E-2</c:v>
                </c:pt>
                <c:pt idx="2" formatCode="0.00%">
                  <c:v>6.0999999999999999E-2</c:v>
                </c:pt>
                <c:pt idx="3" formatCode="0.00%">
                  <c:v>3.8625999999999994E-2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4E-45EA-9040-B5E4A7F58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042016"/>
        <c:axId val="122104681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CCM!$L$96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CCM!$I$97:$I$100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CCM!$L$97:$L$100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3.8907000000000004E-2</c:v>
                      </c:pt>
                      <c:pt idx="3">
                        <c:v>0.3084828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B4B-4F08-8425-40E248F49D56}"/>
                  </c:ext>
                </c:extLst>
              </c15:ser>
            </c15:filteredScatterSeries>
          </c:ext>
        </c:extLst>
      </c:scatterChart>
      <c:valAx>
        <c:axId val="122104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</a:t>
                </a:r>
                <a:r>
                  <a:rPr lang="en-US" sz="1800" b="0" i="1" baseline="0">
                    <a:effectLst/>
                  </a:rPr>
                  <a:t>K</a:t>
                </a:r>
                <a:r>
                  <a:rPr lang="en-US" sz="1800" b="0" i="0" baseline="0">
                    <a:effectLst/>
                  </a:rPr>
                  <a:t> Partitions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46816"/>
        <c:crosses val="autoZero"/>
        <c:crossBetween val="midCat"/>
      </c:valAx>
      <c:valAx>
        <c:axId val="122104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42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CCM, as</a:t>
            </a:r>
            <a:r>
              <a:rPr lang="en-US" sz="2400" baseline="0"/>
              <a:t> K increases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CCM!$J$88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CCM!$I$89:$I$92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CCM!$J$89:$J$92</c:f>
              <c:numCache>
                <c:formatCode>0%</c:formatCode>
                <c:ptCount val="4"/>
                <c:pt idx="0">
                  <c:v>0.14072000000000001</c:v>
                </c:pt>
                <c:pt idx="1">
                  <c:v>0.26044</c:v>
                </c:pt>
                <c:pt idx="2">
                  <c:v>0.49757999999999997</c:v>
                </c:pt>
                <c:pt idx="3">
                  <c:v>0.8607999999999999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3B-43D8-8965-0B1EDFE3C1B9}"/>
            </c:ext>
          </c:extLst>
        </c:ser>
        <c:ser>
          <c:idx val="1"/>
          <c:order val="1"/>
          <c:tx>
            <c:strRef>
              <c:f>CCM!$K$88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CCM!$I$89:$I$92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CCM!$K$89:$K$92</c:f>
              <c:numCache>
                <c:formatCode>0%</c:formatCode>
                <c:ptCount val="4"/>
                <c:pt idx="0">
                  <c:v>0.12754000000000001</c:v>
                </c:pt>
                <c:pt idx="1">
                  <c:v>0.26141999999999999</c:v>
                </c:pt>
                <c:pt idx="2">
                  <c:v>0.51740000000000008</c:v>
                </c:pt>
                <c:pt idx="3">
                  <c:v>0.87059999999999993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3B-43D8-8965-0B1EDFE3C1B9}"/>
            </c:ext>
          </c:extLst>
        </c:ser>
        <c:ser>
          <c:idx val="3"/>
          <c:order val="3"/>
          <c:tx>
            <c:strRef>
              <c:f>CCM!$M$88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CCM!$I$89:$I$92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CCM!$M$89:$M$92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86-47EC-A180-6395B22FE7E3}"/>
            </c:ext>
          </c:extLst>
        </c:ser>
        <c:ser>
          <c:idx val="4"/>
          <c:order val="4"/>
          <c:tx>
            <c:strRef>
              <c:f>CCM!$N$88</c:f>
              <c:strCache>
                <c:ptCount val="1"/>
                <c:pt idx="0">
                  <c:v>Deep NUGP, ε = 57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CCM!$I$89:$I$92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CCM!$N$89:$N$92</c:f>
              <c:numCache>
                <c:formatCode>0%</c:formatCode>
                <c:ptCount val="4"/>
                <c:pt idx="0">
                  <c:v>0.10124680000000001</c:v>
                </c:pt>
                <c:pt idx="1">
                  <c:v>9.5014000000000001E-2</c:v>
                </c:pt>
                <c:pt idx="2">
                  <c:v>2.5940000000000001E-2</c:v>
                </c:pt>
                <c:pt idx="3">
                  <c:v>3.1020000000000002E-2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86-47EC-A180-6395B22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807024"/>
        <c:axId val="118155315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CCM!$L$88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CCM!$I$89:$I$92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CCM!$L$89:$L$92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9.8630000000000002E-3</c:v>
                      </c:pt>
                      <c:pt idx="3">
                        <c:v>1.6319999999999998E-2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E3B-43D8-8965-0B1EDFE3C1B9}"/>
                  </c:ext>
                </c:extLst>
              </c15:ser>
            </c15:filteredScatterSeries>
          </c:ext>
        </c:extLst>
      </c:scatterChart>
      <c:valAx>
        <c:axId val="121280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</a:t>
                </a:r>
                <a:r>
                  <a:rPr lang="en-US" sz="18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53152"/>
        <c:crosses val="autoZero"/>
        <c:crossBetween val="midCat"/>
      </c:valAx>
      <c:valAx>
        <c:axId val="11815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80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Average Connected Component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Contiguity!$F$51:$F$54</c:f>
              <c:numCache>
                <c:formatCode>General</c:formatCode>
                <c:ptCount val="4"/>
                <c:pt idx="0">
                  <c:v>12.6</c:v>
                </c:pt>
                <c:pt idx="1">
                  <c:v>22.8</c:v>
                </c:pt>
                <c:pt idx="2">
                  <c:v>33.799999999999997</c:v>
                </c:pt>
                <c:pt idx="3">
                  <c:v>47.6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81-4928-9B5D-AF5697A36FC4}"/>
            </c:ext>
          </c:extLst>
        </c:ser>
        <c:ser>
          <c:idx val="5"/>
          <c:order val="5"/>
          <c:tx>
            <c:strRef>
              <c:f>Contiguity!$G$50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Contiguity!$G$51:$G$54</c:f>
              <c:numCache>
                <c:formatCode>General</c:formatCode>
                <c:ptCount val="4"/>
                <c:pt idx="0">
                  <c:v>2</c:v>
                </c:pt>
                <c:pt idx="1">
                  <c:v>11.8</c:v>
                </c:pt>
                <c:pt idx="2">
                  <c:v>16</c:v>
                </c:pt>
                <c:pt idx="3">
                  <c:v>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81-4928-9B5D-AF5697A36FC4}"/>
            </c:ext>
          </c:extLst>
        </c:ser>
        <c:ser>
          <c:idx val="6"/>
          <c:order val="6"/>
          <c:tx>
            <c:strRef>
              <c:f>Contiguity!$H$50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Contiguity!$H$51:$H$54</c:f>
              <c:numCache>
                <c:formatCode>General</c:formatCode>
                <c:ptCount val="4"/>
                <c:pt idx="0">
                  <c:v>19.600000000000001</c:v>
                </c:pt>
                <c:pt idx="1">
                  <c:v>84</c:v>
                </c:pt>
                <c:pt idx="2">
                  <c:v>107</c:v>
                </c:pt>
                <c:pt idx="3">
                  <c:v>188.4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81-4928-9B5D-AF5697A36FC4}"/>
            </c:ext>
          </c:extLst>
        </c:ser>
        <c:ser>
          <c:idx val="7"/>
          <c:order val="7"/>
          <c:tx>
            <c:strRef>
              <c:f>Contiguity!$I$50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Contiguity!$I$51:$I$54</c:f>
              <c:numCache>
                <c:formatCode>General</c:formatCode>
                <c:ptCount val="4"/>
                <c:pt idx="0">
                  <c:v>27.8</c:v>
                </c:pt>
                <c:pt idx="1">
                  <c:v>40.799999999999997</c:v>
                </c:pt>
                <c:pt idx="2">
                  <c:v>119</c:v>
                </c:pt>
                <c:pt idx="3">
                  <c:v>180.4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81-4928-9B5D-AF5697A3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190447"/>
        <c:axId val="7821909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49</c:v>
                      </c:pt>
                      <c:pt idx="2">
                        <c:v>42.2</c:v>
                      </c:pt>
                      <c:pt idx="3">
                        <c:v>140.19999999999999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81-4928-9B5D-AF5697A36F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1.2</c:v>
                      </c:pt>
                      <c:pt idx="1">
                        <c:v>44.6</c:v>
                      </c:pt>
                      <c:pt idx="2">
                        <c:v>36.6</c:v>
                      </c:pt>
                      <c:pt idx="3">
                        <c:v>141.4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81-4928-9B5D-AF5697A36FC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56.8</c:v>
                      </c:pt>
                      <c:pt idx="1">
                        <c:v>87.2</c:v>
                      </c:pt>
                      <c:pt idx="2">
                        <c:v>56.6</c:v>
                      </c:pt>
                      <c:pt idx="3">
                        <c:v>45.6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581-4928-9B5D-AF5697A36F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50.6</c:v>
                      </c:pt>
                      <c:pt idx="1">
                        <c:v>46.2</c:v>
                      </c:pt>
                      <c:pt idx="2">
                        <c:v>46.2</c:v>
                      </c:pt>
                      <c:pt idx="3">
                        <c:v>47.2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581-4928-9B5D-AF5697A36FC4}"/>
                  </c:ext>
                </c:extLst>
              </c15:ser>
            </c15:filteredScatterSeries>
          </c:ext>
        </c:extLst>
      </c:scatterChart>
      <c:valAx>
        <c:axId val="78219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</a:t>
                </a:r>
                <a:r>
                  <a:rPr lang="en-US" sz="1800" b="0" i="1" baseline="0">
                    <a:effectLst/>
                  </a:rPr>
                  <a:t>K</a:t>
                </a:r>
                <a:r>
                  <a:rPr lang="en-US" sz="1800" b="0" i="0" baseline="0">
                    <a:effectLst/>
                  </a:rPr>
                  <a:t> Partitions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90927"/>
        <c:crosses val="autoZero"/>
        <c:crossBetween val="midCat"/>
      </c:valAx>
      <c:valAx>
        <c:axId val="7821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9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1060637</xdr:colOff>
      <xdr:row>54</xdr:row>
      <xdr:rowOff>151558</xdr:rowOff>
    </xdr:from>
    <xdr:to>
      <xdr:col>4</xdr:col>
      <xdr:colOff>1501588</xdr:colOff>
      <xdr:row>77</xdr:row>
      <xdr:rowOff>156881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CF8984-6DE0-1D4C-C040-96DD8450C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1731306</xdr:colOff>
      <xdr:row>65</xdr:row>
      <xdr:rowOff>101972</xdr:rowOff>
    </xdr:from>
    <xdr:to>
      <xdr:col>10</xdr:col>
      <xdr:colOff>571499</xdr:colOff>
      <xdr:row>88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02021-3BB9-58F0-1379-7F324878B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1323416</xdr:colOff>
      <xdr:row>64</xdr:row>
      <xdr:rowOff>136991</xdr:rowOff>
    </xdr:from>
    <xdr:to>
      <xdr:col>5</xdr:col>
      <xdr:colOff>459441</xdr:colOff>
      <xdr:row>87</xdr:row>
      <xdr:rowOff>156883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80AD5-C505-2403-00D6-BA297FB26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459797</xdr:colOff>
      <xdr:row>111</xdr:row>
      <xdr:rowOff>128586</xdr:rowOff>
    </xdr:from>
    <xdr:to>
      <xdr:col>25</xdr:col>
      <xdr:colOff>484910</xdr:colOff>
      <xdr:row>134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D46E02-EDC1-D420-D30C-1C1C815AA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2043546</xdr:colOff>
      <xdr:row>112</xdr:row>
      <xdr:rowOff>160624</xdr:rowOff>
    </xdr:from>
    <xdr:to>
      <xdr:col>14</xdr:col>
      <xdr:colOff>1835726</xdr:colOff>
      <xdr:row>135</xdr:row>
      <xdr:rowOff>155865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B7683-81FC-253E-745E-7D0618C89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1004887</xdr:colOff>
      <xdr:row>57</xdr:row>
      <xdr:rowOff>71436</xdr:rowOff>
    </xdr:from>
    <xdr:to>
      <xdr:col>7</xdr:col>
      <xdr:colOff>1466851</xdr:colOff>
      <xdr:row>80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29355-A0A7-31FF-983E-3F6A33E7C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B52" zoomScale="85" zoomScaleNormal="85" workbookViewId="0">
      <selection activeCell="K92" sqref="K92"/>
    </sheetView>
  </sheetViews>
  <sheetFormatPr defaultRowHeight="15" x14ac:dyDescent="0.25"/>
  <cols>
    <col min="1" max="1" width="8" bestFit="1" customWidth="1"/>
    <col min="2" max="2" width="24.28515625" bestFit="1" customWidth="1"/>
    <col min="3" max="3" width="32.5703125" customWidth="1"/>
    <col min="4" max="4" width="38.28515625" bestFit="1" customWidth="1"/>
    <col min="5" max="5" width="35.42578125" bestFit="1" customWidth="1"/>
    <col min="6" max="6" width="9.5703125" bestFit="1" customWidth="1"/>
    <col min="8" max="9" width="28" bestFit="1" customWidth="1"/>
  </cols>
  <sheetData>
    <row r="1" spans="1:9" ht="14.25" customHeight="1" x14ac:dyDescent="0.25">
      <c r="C1" t="s">
        <v>15</v>
      </c>
    </row>
    <row r="2" spans="1:9" x14ac:dyDescent="0.25">
      <c r="A2" s="15" t="s">
        <v>45</v>
      </c>
      <c r="B2" s="15"/>
      <c r="C2" s="15"/>
      <c r="D2" s="15"/>
      <c r="E2" s="15"/>
      <c r="F2" s="15"/>
      <c r="G2" s="15"/>
    </row>
    <row r="3" spans="1:9" x14ac:dyDescent="0.25">
      <c r="A3" s="16" t="s">
        <v>17</v>
      </c>
      <c r="B3" s="16"/>
      <c r="C3" s="16"/>
      <c r="D3" s="16"/>
      <c r="E3" s="16"/>
      <c r="F3" s="16"/>
      <c r="G3" s="16"/>
    </row>
    <row r="4" spans="1:9" ht="32.25" customHeight="1" x14ac:dyDescent="0.25">
      <c r="A4" s="2"/>
      <c r="B4" s="1" t="s">
        <v>10</v>
      </c>
      <c r="C4" s="3" t="s">
        <v>11</v>
      </c>
      <c r="D4" s="1" t="s">
        <v>12</v>
      </c>
      <c r="E4" s="3" t="s">
        <v>13</v>
      </c>
      <c r="F4" s="1" t="s">
        <v>4</v>
      </c>
      <c r="G4" s="1" t="s">
        <v>14</v>
      </c>
      <c r="H4" s="1" t="s">
        <v>38</v>
      </c>
      <c r="I4" s="1" t="s">
        <v>46</v>
      </c>
    </row>
    <row r="5" spans="1:9" x14ac:dyDescent="0.25">
      <c r="A5" s="1" t="s">
        <v>5</v>
      </c>
      <c r="B5">
        <v>1914</v>
      </c>
      <c r="C5">
        <v>1812</v>
      </c>
      <c r="D5">
        <v>1874</v>
      </c>
      <c r="E5">
        <v>1900</v>
      </c>
      <c r="F5">
        <v>856</v>
      </c>
      <c r="G5">
        <v>704</v>
      </c>
      <c r="H5">
        <v>795</v>
      </c>
      <c r="I5">
        <v>761</v>
      </c>
    </row>
    <row r="6" spans="1:9" x14ac:dyDescent="0.25">
      <c r="A6" s="1" t="s">
        <v>6</v>
      </c>
      <c r="B6">
        <v>1815</v>
      </c>
      <c r="C6">
        <v>1786</v>
      </c>
      <c r="D6">
        <v>1938</v>
      </c>
      <c r="E6">
        <v>2020</v>
      </c>
      <c r="F6">
        <v>940</v>
      </c>
      <c r="G6">
        <v>704</v>
      </c>
      <c r="H6">
        <v>771</v>
      </c>
      <c r="I6">
        <v>831</v>
      </c>
    </row>
    <row r="7" spans="1:9" x14ac:dyDescent="0.25">
      <c r="A7" s="1" t="s">
        <v>7</v>
      </c>
      <c r="B7">
        <v>1956</v>
      </c>
      <c r="C7">
        <v>1727</v>
      </c>
      <c r="D7">
        <v>2012</v>
      </c>
      <c r="E7">
        <v>1886</v>
      </c>
      <c r="F7">
        <v>956</v>
      </c>
      <c r="G7">
        <v>704</v>
      </c>
      <c r="H7">
        <v>757</v>
      </c>
      <c r="I7">
        <v>773</v>
      </c>
    </row>
    <row r="8" spans="1:9" x14ac:dyDescent="0.25">
      <c r="A8" s="1" t="s">
        <v>8</v>
      </c>
      <c r="B8">
        <v>1806</v>
      </c>
      <c r="C8">
        <v>1781</v>
      </c>
      <c r="D8">
        <v>1859</v>
      </c>
      <c r="E8">
        <v>1934</v>
      </c>
      <c r="F8">
        <v>961</v>
      </c>
      <c r="G8">
        <v>704</v>
      </c>
      <c r="H8">
        <v>758</v>
      </c>
      <c r="I8">
        <v>716</v>
      </c>
    </row>
    <row r="9" spans="1:9" x14ac:dyDescent="0.25">
      <c r="A9" s="1" t="s">
        <v>9</v>
      </c>
      <c r="B9">
        <v>1861</v>
      </c>
      <c r="C9">
        <v>1665</v>
      </c>
      <c r="D9">
        <v>1950</v>
      </c>
      <c r="E9">
        <v>1996</v>
      </c>
      <c r="F9">
        <v>965</v>
      </c>
      <c r="G9">
        <v>704</v>
      </c>
      <c r="H9">
        <v>784</v>
      </c>
      <c r="I9">
        <v>725</v>
      </c>
    </row>
    <row r="12" spans="1:9" x14ac:dyDescent="0.25">
      <c r="C12" t="s">
        <v>15</v>
      </c>
    </row>
    <row r="13" spans="1:9" x14ac:dyDescent="0.25">
      <c r="A13" s="15" t="s">
        <v>29</v>
      </c>
      <c r="B13" s="15"/>
      <c r="C13" s="15"/>
      <c r="D13" s="15"/>
      <c r="E13" s="15"/>
      <c r="F13" s="15"/>
      <c r="G13" s="15"/>
    </row>
    <row r="14" spans="1:9" x14ac:dyDescent="0.25">
      <c r="A14" s="16" t="s">
        <v>17</v>
      </c>
      <c r="B14" s="16"/>
      <c r="C14" s="16"/>
      <c r="D14" s="16"/>
      <c r="E14" s="16"/>
      <c r="F14" s="16"/>
      <c r="G14" s="16"/>
    </row>
    <row r="15" spans="1:9" ht="30" x14ac:dyDescent="0.25">
      <c r="A15" s="2"/>
      <c r="B15" s="1" t="s">
        <v>10</v>
      </c>
      <c r="C15" s="3" t="s">
        <v>11</v>
      </c>
      <c r="D15" s="1" t="s">
        <v>12</v>
      </c>
      <c r="E15" s="3" t="s">
        <v>13</v>
      </c>
      <c r="F15" s="1" t="s">
        <v>4</v>
      </c>
      <c r="G15" s="1" t="s">
        <v>14</v>
      </c>
      <c r="H15" s="1" t="s">
        <v>38</v>
      </c>
      <c r="I15" s="1" t="s">
        <v>46</v>
      </c>
    </row>
    <row r="16" spans="1:9" x14ac:dyDescent="0.25">
      <c r="A16" s="1" t="s">
        <v>5</v>
      </c>
      <c r="B16">
        <v>2488</v>
      </c>
      <c r="C16">
        <v>2496</v>
      </c>
      <c r="D16">
        <v>2764</v>
      </c>
      <c r="E16">
        <v>2822</v>
      </c>
      <c r="F16">
        <v>1425</v>
      </c>
      <c r="G16">
        <v>1266</v>
      </c>
      <c r="H16">
        <v>1246</v>
      </c>
      <c r="I16">
        <v>1363</v>
      </c>
    </row>
    <row r="17" spans="1:9" x14ac:dyDescent="0.25">
      <c r="A17" s="1" t="s">
        <v>6</v>
      </c>
      <c r="B17">
        <v>2631</v>
      </c>
      <c r="C17">
        <v>2781</v>
      </c>
      <c r="D17">
        <v>2936</v>
      </c>
      <c r="E17">
        <v>2831</v>
      </c>
      <c r="F17">
        <v>1446</v>
      </c>
      <c r="G17">
        <v>1278</v>
      </c>
      <c r="H17">
        <v>1223</v>
      </c>
      <c r="I17">
        <v>1198</v>
      </c>
    </row>
    <row r="18" spans="1:9" x14ac:dyDescent="0.25">
      <c r="A18" s="1" t="s">
        <v>7</v>
      </c>
      <c r="B18">
        <v>2814</v>
      </c>
      <c r="C18">
        <v>2576</v>
      </c>
      <c r="D18">
        <v>2811</v>
      </c>
      <c r="E18">
        <v>2784</v>
      </c>
      <c r="F18">
        <v>1492</v>
      </c>
      <c r="G18">
        <v>1343</v>
      </c>
      <c r="H18">
        <v>1230</v>
      </c>
      <c r="I18">
        <v>1201</v>
      </c>
    </row>
    <row r="19" spans="1:9" x14ac:dyDescent="0.25">
      <c r="A19" s="1" t="s">
        <v>8</v>
      </c>
      <c r="B19">
        <v>2767</v>
      </c>
      <c r="C19">
        <v>2783</v>
      </c>
      <c r="D19">
        <v>2943</v>
      </c>
      <c r="E19">
        <v>2816</v>
      </c>
      <c r="F19">
        <v>1473</v>
      </c>
      <c r="G19">
        <v>1433</v>
      </c>
      <c r="H19">
        <v>1345</v>
      </c>
      <c r="I19">
        <v>1287</v>
      </c>
    </row>
    <row r="20" spans="1:9" x14ac:dyDescent="0.25">
      <c r="A20" s="1" t="s">
        <v>9</v>
      </c>
      <c r="B20">
        <v>2666</v>
      </c>
      <c r="C20">
        <v>2698</v>
      </c>
      <c r="D20">
        <v>2903</v>
      </c>
      <c r="E20">
        <v>2940</v>
      </c>
      <c r="F20">
        <v>1339</v>
      </c>
      <c r="G20">
        <v>1341</v>
      </c>
      <c r="H20">
        <v>1248</v>
      </c>
      <c r="I20">
        <v>1206</v>
      </c>
    </row>
    <row r="24" spans="1:9" x14ac:dyDescent="0.25">
      <c r="A24" s="15" t="s">
        <v>30</v>
      </c>
      <c r="B24" s="15"/>
      <c r="C24" s="15"/>
      <c r="D24" s="15"/>
      <c r="E24" s="15"/>
      <c r="F24" s="15"/>
      <c r="G24" s="15"/>
    </row>
    <row r="25" spans="1:9" x14ac:dyDescent="0.25">
      <c r="A25" s="16" t="s">
        <v>17</v>
      </c>
      <c r="B25" s="16"/>
      <c r="C25" s="16"/>
      <c r="D25" s="16"/>
      <c r="E25" s="16"/>
      <c r="F25" s="16"/>
      <c r="G25" s="16"/>
    </row>
    <row r="26" spans="1:9" ht="30" x14ac:dyDescent="0.25">
      <c r="A26" s="2"/>
      <c r="B26" s="1" t="s">
        <v>10</v>
      </c>
      <c r="C26" s="3" t="s">
        <v>11</v>
      </c>
      <c r="D26" s="1" t="s">
        <v>12</v>
      </c>
      <c r="E26" s="3" t="s">
        <v>13</v>
      </c>
      <c r="F26" s="1" t="s">
        <v>4</v>
      </c>
      <c r="G26" s="1" t="s">
        <v>14</v>
      </c>
      <c r="H26" s="1" t="s">
        <v>38</v>
      </c>
      <c r="I26" s="1" t="s">
        <v>47</v>
      </c>
    </row>
    <row r="27" spans="1:9" x14ac:dyDescent="0.25">
      <c r="A27" s="1" t="s">
        <v>5</v>
      </c>
      <c r="B27">
        <v>2469</v>
      </c>
      <c r="C27">
        <v>2786</v>
      </c>
      <c r="D27">
        <v>3016</v>
      </c>
      <c r="E27">
        <v>2997</v>
      </c>
      <c r="F27">
        <v>1912</v>
      </c>
      <c r="G27">
        <v>1717</v>
      </c>
      <c r="H27">
        <v>1640</v>
      </c>
      <c r="I27">
        <v>1626</v>
      </c>
    </row>
    <row r="28" spans="1:9" x14ac:dyDescent="0.25">
      <c r="A28" s="1" t="s">
        <v>6</v>
      </c>
      <c r="B28">
        <v>2966</v>
      </c>
      <c r="C28">
        <v>2822</v>
      </c>
      <c r="D28">
        <v>3053</v>
      </c>
      <c r="E28">
        <v>2952</v>
      </c>
      <c r="F28">
        <v>1833</v>
      </c>
      <c r="G28">
        <v>1739</v>
      </c>
      <c r="H28">
        <v>1534</v>
      </c>
      <c r="I28">
        <v>1589</v>
      </c>
    </row>
    <row r="29" spans="1:9" x14ac:dyDescent="0.25">
      <c r="A29" s="1" t="s">
        <v>7</v>
      </c>
      <c r="B29">
        <v>2772</v>
      </c>
      <c r="C29">
        <v>2942</v>
      </c>
      <c r="D29">
        <v>2961</v>
      </c>
      <c r="E29">
        <v>3077</v>
      </c>
      <c r="F29">
        <v>1854</v>
      </c>
      <c r="G29">
        <v>1739</v>
      </c>
      <c r="H29">
        <v>1689</v>
      </c>
      <c r="I29">
        <v>1645</v>
      </c>
    </row>
    <row r="30" spans="1:9" x14ac:dyDescent="0.25">
      <c r="A30" s="1" t="s">
        <v>8</v>
      </c>
      <c r="B30">
        <v>2775</v>
      </c>
      <c r="C30">
        <v>2764</v>
      </c>
      <c r="D30">
        <v>2945</v>
      </c>
      <c r="E30">
        <v>3052</v>
      </c>
      <c r="F30">
        <v>1888</v>
      </c>
      <c r="G30">
        <v>1776</v>
      </c>
      <c r="H30">
        <v>1688</v>
      </c>
      <c r="I30">
        <v>1521</v>
      </c>
    </row>
    <row r="31" spans="1:9" x14ac:dyDescent="0.25">
      <c r="A31" s="1" t="s">
        <v>9</v>
      </c>
      <c r="B31">
        <v>2691</v>
      </c>
      <c r="C31">
        <v>2885</v>
      </c>
      <c r="D31">
        <v>3102</v>
      </c>
      <c r="E31">
        <v>3010</v>
      </c>
      <c r="F31">
        <v>1914</v>
      </c>
      <c r="G31">
        <v>1783</v>
      </c>
      <c r="H31">
        <v>1622</v>
      </c>
      <c r="I31">
        <v>1534</v>
      </c>
    </row>
    <row r="35" spans="1:9" x14ac:dyDescent="0.25">
      <c r="A35" s="15" t="s">
        <v>31</v>
      </c>
      <c r="B35" s="15"/>
      <c r="C35" s="15"/>
      <c r="D35" s="15"/>
      <c r="E35" s="15"/>
      <c r="F35" s="15"/>
      <c r="G35" s="15"/>
    </row>
    <row r="36" spans="1:9" x14ac:dyDescent="0.25">
      <c r="A36" s="16" t="s">
        <v>17</v>
      </c>
      <c r="B36" s="16"/>
      <c r="C36" s="16"/>
      <c r="D36" s="16"/>
      <c r="E36" s="16"/>
      <c r="F36" s="16"/>
      <c r="G36" s="16"/>
    </row>
    <row r="37" spans="1:9" ht="30" x14ac:dyDescent="0.25">
      <c r="A37" s="2"/>
      <c r="B37" s="1" t="s">
        <v>10</v>
      </c>
      <c r="C37" s="3" t="s">
        <v>11</v>
      </c>
      <c r="D37" s="1" t="s">
        <v>12</v>
      </c>
      <c r="E37" s="3" t="s">
        <v>13</v>
      </c>
      <c r="F37" s="1" t="s">
        <v>4</v>
      </c>
      <c r="G37" s="1" t="s">
        <v>14</v>
      </c>
      <c r="H37" s="1" t="s">
        <v>38</v>
      </c>
      <c r="I37" s="1" t="s">
        <v>39</v>
      </c>
    </row>
    <row r="38" spans="1:9" x14ac:dyDescent="0.25">
      <c r="A38" s="1" t="s">
        <v>5</v>
      </c>
      <c r="B38">
        <v>3139</v>
      </c>
      <c r="C38">
        <v>3345</v>
      </c>
      <c r="D38">
        <v>3140</v>
      </c>
      <c r="E38">
        <v>3221</v>
      </c>
      <c r="F38">
        <v>2318</v>
      </c>
      <c r="G38">
        <v>2189</v>
      </c>
      <c r="H38">
        <v>2290</v>
      </c>
      <c r="I38">
        <v>2329</v>
      </c>
    </row>
    <row r="39" spans="1:9" x14ac:dyDescent="0.25">
      <c r="A39" s="1" t="s">
        <v>6</v>
      </c>
      <c r="B39">
        <v>3259</v>
      </c>
      <c r="C39">
        <v>3219</v>
      </c>
      <c r="D39">
        <v>2952</v>
      </c>
      <c r="E39">
        <v>3121</v>
      </c>
      <c r="F39">
        <v>2302</v>
      </c>
      <c r="G39">
        <v>2229</v>
      </c>
      <c r="H39">
        <v>2622</v>
      </c>
      <c r="I39">
        <v>2278</v>
      </c>
    </row>
    <row r="40" spans="1:9" x14ac:dyDescent="0.25">
      <c r="A40" s="1" t="s">
        <v>7</v>
      </c>
      <c r="B40">
        <v>3325</v>
      </c>
      <c r="C40">
        <v>3220</v>
      </c>
      <c r="D40">
        <v>3055</v>
      </c>
      <c r="E40">
        <v>3133</v>
      </c>
      <c r="F40">
        <v>2285</v>
      </c>
      <c r="G40">
        <v>2256</v>
      </c>
      <c r="H40">
        <v>2064</v>
      </c>
      <c r="I40">
        <v>2504</v>
      </c>
    </row>
    <row r="41" spans="1:9" x14ac:dyDescent="0.25">
      <c r="A41" s="1" t="s">
        <v>8</v>
      </c>
      <c r="B41">
        <v>3314</v>
      </c>
      <c r="C41">
        <v>3332</v>
      </c>
      <c r="D41">
        <v>3040</v>
      </c>
      <c r="E41">
        <v>3046</v>
      </c>
      <c r="F41">
        <v>2300</v>
      </c>
      <c r="G41">
        <v>2226</v>
      </c>
      <c r="H41">
        <v>2581</v>
      </c>
      <c r="I41">
        <v>1986</v>
      </c>
    </row>
    <row r="42" spans="1:9" x14ac:dyDescent="0.25">
      <c r="A42" s="1" t="s">
        <v>9</v>
      </c>
      <c r="B42">
        <v>3315</v>
      </c>
      <c r="C42">
        <v>3434</v>
      </c>
      <c r="D42">
        <v>3153</v>
      </c>
      <c r="E42">
        <v>3028</v>
      </c>
      <c r="F42">
        <v>2353</v>
      </c>
      <c r="G42">
        <v>2234</v>
      </c>
      <c r="H42">
        <v>1828</v>
      </c>
      <c r="I42">
        <v>2298</v>
      </c>
    </row>
    <row r="47" spans="1:9" x14ac:dyDescent="0.25">
      <c r="A47" s="17" t="s">
        <v>32</v>
      </c>
      <c r="B47" s="17"/>
      <c r="C47" s="17"/>
      <c r="D47" s="17"/>
      <c r="E47" s="17"/>
      <c r="F47" s="17"/>
      <c r="G47" s="17"/>
    </row>
    <row r="48" spans="1:9" ht="30" x14ac:dyDescent="0.25">
      <c r="A48" s="2"/>
      <c r="B48" s="1" t="s">
        <v>10</v>
      </c>
      <c r="C48" s="3" t="s">
        <v>11</v>
      </c>
      <c r="D48" s="1" t="s">
        <v>12</v>
      </c>
      <c r="E48" s="3" t="s">
        <v>13</v>
      </c>
      <c r="F48" s="1" t="s">
        <v>4</v>
      </c>
      <c r="G48" s="1" t="s">
        <v>14</v>
      </c>
      <c r="H48" s="1" t="s">
        <v>49</v>
      </c>
      <c r="I48" s="1" t="s">
        <v>48</v>
      </c>
    </row>
    <row r="49" spans="1:11" x14ac:dyDescent="0.25">
      <c r="A49" s="1">
        <v>2</v>
      </c>
      <c r="B49">
        <f t="shared" ref="B49:F49" si="0">AVERAGE(B5:B9)</f>
        <v>1870.4</v>
      </c>
      <c r="C49">
        <f t="shared" si="0"/>
        <v>1754.2</v>
      </c>
      <c r="D49">
        <f t="shared" si="0"/>
        <v>1926.6</v>
      </c>
      <c r="E49">
        <f t="shared" si="0"/>
        <v>1947.2</v>
      </c>
      <c r="F49">
        <f t="shared" si="0"/>
        <v>935.6</v>
      </c>
      <c r="G49">
        <f>AVERAGE(G5:G9)</f>
        <v>704</v>
      </c>
      <c r="H49">
        <f>AVERAGE(H5:H9)</f>
        <v>773</v>
      </c>
      <c r="I49">
        <f>AVERAGE(I5:I9)</f>
        <v>761.2</v>
      </c>
    </row>
    <row r="50" spans="1:11" x14ac:dyDescent="0.25">
      <c r="A50" s="1">
        <v>4</v>
      </c>
      <c r="B50">
        <f t="shared" ref="B50:G50" si="1">AVERAGE(B16:B20)</f>
        <v>2673.2</v>
      </c>
      <c r="C50">
        <f t="shared" si="1"/>
        <v>2666.8</v>
      </c>
      <c r="D50">
        <f t="shared" si="1"/>
        <v>2871.4</v>
      </c>
      <c r="E50">
        <f t="shared" si="1"/>
        <v>2838.6</v>
      </c>
      <c r="F50">
        <f t="shared" si="1"/>
        <v>1435</v>
      </c>
      <c r="G50">
        <f t="shared" si="1"/>
        <v>1332.2</v>
      </c>
      <c r="H50">
        <f>AVERAGE(H16:H20)</f>
        <v>1258.4000000000001</v>
      </c>
      <c r="I50">
        <f>AVERAGE(I16:I20)</f>
        <v>1251</v>
      </c>
    </row>
    <row r="51" spans="1:11" x14ac:dyDescent="0.25">
      <c r="A51" s="1">
        <v>8</v>
      </c>
      <c r="B51">
        <f t="shared" ref="B51:G51" si="2">AVERAGE(B27:B31)</f>
        <v>2734.6</v>
      </c>
      <c r="C51">
        <f t="shared" si="2"/>
        <v>2839.8</v>
      </c>
      <c r="D51">
        <f t="shared" si="2"/>
        <v>3015.4</v>
      </c>
      <c r="E51">
        <f t="shared" si="2"/>
        <v>3017.6</v>
      </c>
      <c r="F51">
        <f t="shared" si="2"/>
        <v>1880.2</v>
      </c>
      <c r="G51">
        <f t="shared" si="2"/>
        <v>1750.8</v>
      </c>
      <c r="H51">
        <f>AVERAGE(H27:H31)</f>
        <v>1634.6</v>
      </c>
      <c r="I51">
        <f>AVERAGE(I27:I31)</f>
        <v>1583</v>
      </c>
    </row>
    <row r="52" spans="1:11" x14ac:dyDescent="0.25">
      <c r="A52" s="1">
        <v>16</v>
      </c>
      <c r="B52">
        <f t="shared" ref="B52:G52" si="3">AVERAGE(B38:B42)</f>
        <v>3270.4</v>
      </c>
      <c r="C52">
        <f t="shared" si="3"/>
        <v>3310</v>
      </c>
      <c r="D52">
        <f t="shared" si="3"/>
        <v>3068</v>
      </c>
      <c r="E52">
        <f t="shared" si="3"/>
        <v>3109.8</v>
      </c>
      <c r="F52">
        <f t="shared" si="3"/>
        <v>2311.6</v>
      </c>
      <c r="G52">
        <f t="shared" si="3"/>
        <v>2226.8000000000002</v>
      </c>
      <c r="H52">
        <f>AVERAGE(H38:H42)</f>
        <v>2277</v>
      </c>
      <c r="I52">
        <f>AVERAGE(I38:I42)</f>
        <v>2279</v>
      </c>
    </row>
    <row r="57" spans="1:11" x14ac:dyDescent="0.25">
      <c r="G57" s="2"/>
      <c r="H57" s="1" t="s">
        <v>4</v>
      </c>
      <c r="I57" s="1" t="s">
        <v>14</v>
      </c>
      <c r="J57" s="1" t="s">
        <v>49</v>
      </c>
      <c r="K57" s="1" t="s">
        <v>48</v>
      </c>
    </row>
    <row r="58" spans="1:11" x14ac:dyDescent="0.25">
      <c r="G58" s="1">
        <v>2</v>
      </c>
      <c r="H58" s="14">
        <f>(G49 - F49) / G49</f>
        <v>-0.32897727272727278</v>
      </c>
      <c r="I58" s="14">
        <f>(G49 - G49) / G49</f>
        <v>0</v>
      </c>
      <c r="J58" s="14">
        <f>(G49 - H49) / G49</f>
        <v>-9.8011363636363633E-2</v>
      </c>
      <c r="K58" s="14">
        <f>(G49 - I49) / G49</f>
        <v>-8.1250000000000058E-2</v>
      </c>
    </row>
    <row r="59" spans="1:11" x14ac:dyDescent="0.25">
      <c r="G59" s="1">
        <v>4</v>
      </c>
      <c r="H59" s="14">
        <f t="shared" ref="H59:H61" si="4">(G50 - F50) / G50</f>
        <v>-7.7165590752139288E-2</v>
      </c>
      <c r="I59" s="14">
        <f t="shared" ref="I59:I61" si="5">(G50 - G50) / G50</f>
        <v>0</v>
      </c>
      <c r="J59" s="14">
        <f t="shared" ref="J59:J61" si="6">(G50 - H50) / G50</f>
        <v>5.5397087524395698E-2</v>
      </c>
      <c r="K59" s="14">
        <f t="shared" ref="K59:K61" si="7">(G50 - I50) / G50</f>
        <v>6.0951809037682061E-2</v>
      </c>
    </row>
    <row r="60" spans="1:11" x14ac:dyDescent="0.25">
      <c r="G60" s="1">
        <v>8</v>
      </c>
      <c r="H60" s="14">
        <f t="shared" si="4"/>
        <v>-7.3909070139364916E-2</v>
      </c>
      <c r="I60" s="14">
        <f t="shared" si="5"/>
        <v>0</v>
      </c>
      <c r="J60" s="14">
        <f t="shared" si="6"/>
        <v>6.636965958419011E-2</v>
      </c>
      <c r="K60" s="14">
        <f t="shared" si="7"/>
        <v>9.5841900845327829E-2</v>
      </c>
    </row>
    <row r="61" spans="1:11" x14ac:dyDescent="0.25">
      <c r="G61" s="1">
        <v>16</v>
      </c>
      <c r="H61" s="14">
        <f t="shared" si="4"/>
        <v>-3.8081552002873956E-2</v>
      </c>
      <c r="I61" s="14">
        <f t="shared" si="5"/>
        <v>0</v>
      </c>
      <c r="J61" s="14">
        <f t="shared" si="6"/>
        <v>-2.2543560265852261E-2</v>
      </c>
      <c r="K61" s="14">
        <f t="shared" si="7"/>
        <v>-2.3441710077240802E-2</v>
      </c>
    </row>
  </sheetData>
  <mergeCells count="9">
    <mergeCell ref="A2:G2"/>
    <mergeCell ref="A13:G13"/>
    <mergeCell ref="A14:G14"/>
    <mergeCell ref="A24:G24"/>
    <mergeCell ref="A47:G47"/>
    <mergeCell ref="A25:G25"/>
    <mergeCell ref="A35:G35"/>
    <mergeCell ref="A36:G36"/>
    <mergeCell ref="A3:G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8"/>
  <sheetViews>
    <sheetView topLeftCell="G34" zoomScale="85" zoomScaleNormal="85" workbookViewId="0">
      <selection activeCell="M54" sqref="M54:Q58"/>
    </sheetView>
  </sheetViews>
  <sheetFormatPr defaultRowHeight="15" x14ac:dyDescent="0.25"/>
  <cols>
    <col min="2" max="2" width="24.28515625" bestFit="1" customWidth="1"/>
    <col min="3" max="3" width="17" bestFit="1" customWidth="1"/>
    <col min="4" max="4" width="38.28515625" bestFit="1" customWidth="1"/>
    <col min="5" max="5" width="35.42578125" bestFit="1" customWidth="1"/>
    <col min="6" max="6" width="9.5703125" bestFit="1" customWidth="1"/>
    <col min="7" max="7" width="31.28515625" customWidth="1"/>
    <col min="8" max="8" width="28" bestFit="1" customWidth="1"/>
    <col min="9" max="9" width="29" bestFit="1" customWidth="1"/>
  </cols>
  <sheetData>
    <row r="1" spans="1:9" x14ac:dyDescent="0.25">
      <c r="A1" s="15" t="s">
        <v>16</v>
      </c>
      <c r="B1" s="15"/>
      <c r="C1" s="15"/>
      <c r="D1" s="15"/>
      <c r="E1" s="15"/>
      <c r="F1" s="15"/>
      <c r="G1" s="15"/>
    </row>
    <row r="2" spans="1:9" x14ac:dyDescent="0.25">
      <c r="A2" s="16" t="s">
        <v>27</v>
      </c>
      <c r="B2" s="16"/>
      <c r="C2" s="16"/>
      <c r="D2" s="16"/>
      <c r="E2" s="16"/>
      <c r="F2" s="16"/>
      <c r="G2" s="16"/>
    </row>
    <row r="3" spans="1:9" ht="45" x14ac:dyDescent="0.25">
      <c r="A3" s="2"/>
      <c r="B3" s="1" t="s">
        <v>10</v>
      </c>
      <c r="C3" s="3" t="s">
        <v>11</v>
      </c>
      <c r="D3" s="1" t="s">
        <v>12</v>
      </c>
      <c r="E3" s="3" t="s">
        <v>13</v>
      </c>
      <c r="F3" s="1" t="s">
        <v>4</v>
      </c>
      <c r="G3" s="1" t="s">
        <v>14</v>
      </c>
      <c r="H3" s="10" t="s">
        <v>38</v>
      </c>
      <c r="I3" s="1" t="s">
        <v>46</v>
      </c>
    </row>
    <row r="4" spans="1:9" x14ac:dyDescent="0.25">
      <c r="A4" s="1" t="s">
        <v>5</v>
      </c>
      <c r="B4">
        <v>1.2490000000000001</v>
      </c>
      <c r="C4">
        <v>1.173</v>
      </c>
      <c r="D4">
        <v>0.44</v>
      </c>
      <c r="E4">
        <v>0.254</v>
      </c>
      <c r="F4">
        <v>0.49399999999999999</v>
      </c>
      <c r="G4">
        <v>0.46200000000000002</v>
      </c>
      <c r="H4">
        <v>0.61399999999999999</v>
      </c>
      <c r="I4">
        <v>0.66400000000000003</v>
      </c>
    </row>
    <row r="5" spans="1:9" x14ac:dyDescent="0.25">
      <c r="A5" s="1" t="s">
        <v>6</v>
      </c>
      <c r="B5">
        <v>1.355</v>
      </c>
      <c r="C5">
        <v>1.32</v>
      </c>
      <c r="D5">
        <v>0.49299999999999999</v>
      </c>
      <c r="E5">
        <v>0.20799999999999999</v>
      </c>
      <c r="F5">
        <v>0.502</v>
      </c>
      <c r="G5">
        <v>0.45100000000000001</v>
      </c>
      <c r="H5">
        <v>0.75800000000000001</v>
      </c>
      <c r="I5">
        <v>0.629</v>
      </c>
    </row>
    <row r="6" spans="1:9" x14ac:dyDescent="0.25">
      <c r="A6" s="1" t="s">
        <v>7</v>
      </c>
      <c r="B6">
        <v>1.306</v>
      </c>
      <c r="C6">
        <v>1.181</v>
      </c>
      <c r="D6">
        <v>0.55900000000000005</v>
      </c>
      <c r="E6">
        <v>0.22500000000000001</v>
      </c>
      <c r="F6">
        <v>0.497</v>
      </c>
      <c r="G6">
        <v>0.46899999999999997</v>
      </c>
      <c r="H6">
        <v>0.627</v>
      </c>
      <c r="I6">
        <v>0.68300000000000005</v>
      </c>
    </row>
    <row r="7" spans="1:9" x14ac:dyDescent="0.25">
      <c r="A7" s="1" t="s">
        <v>8</v>
      </c>
      <c r="B7">
        <v>1.4650000000000001</v>
      </c>
      <c r="C7">
        <v>1.171</v>
      </c>
      <c r="D7">
        <v>0.53600000000000003</v>
      </c>
      <c r="E7">
        <v>0.27900000000000003</v>
      </c>
      <c r="F7">
        <v>0.59599999999999997</v>
      </c>
      <c r="G7">
        <v>0.52400000000000002</v>
      </c>
      <c r="H7">
        <v>0.65800000000000003</v>
      </c>
      <c r="I7">
        <v>0.69799999999999995</v>
      </c>
    </row>
    <row r="8" spans="1:9" x14ac:dyDescent="0.25">
      <c r="A8" s="1" t="s">
        <v>9</v>
      </c>
      <c r="B8">
        <v>1.375</v>
      </c>
      <c r="C8">
        <v>1.4430000000000001</v>
      </c>
      <c r="D8">
        <v>0.53300000000000003</v>
      </c>
      <c r="E8">
        <v>0.20899999999999999</v>
      </c>
      <c r="F8">
        <v>0.52400000000000002</v>
      </c>
      <c r="G8">
        <v>0.434</v>
      </c>
      <c r="H8">
        <v>0.50600000000000001</v>
      </c>
      <c r="I8">
        <v>0.63800000000000001</v>
      </c>
    </row>
    <row r="11" spans="1:9" x14ac:dyDescent="0.25">
      <c r="A11" s="15" t="s">
        <v>29</v>
      </c>
      <c r="B11" s="15"/>
      <c r="C11" s="15"/>
      <c r="D11" s="15"/>
      <c r="E11" s="15"/>
      <c r="F11" s="15"/>
      <c r="G11" s="15"/>
    </row>
    <row r="12" spans="1:9" x14ac:dyDescent="0.25">
      <c r="A12" s="16" t="s">
        <v>27</v>
      </c>
      <c r="B12" s="16"/>
      <c r="C12" s="16"/>
      <c r="D12" s="16"/>
      <c r="E12" s="16"/>
      <c r="F12" s="16"/>
      <c r="G12" s="16"/>
    </row>
    <row r="13" spans="1:9" ht="45" x14ac:dyDescent="0.25">
      <c r="A13" s="2"/>
      <c r="B13" s="1" t="s">
        <v>10</v>
      </c>
      <c r="C13" s="3" t="s">
        <v>11</v>
      </c>
      <c r="D13" s="1" t="s">
        <v>12</v>
      </c>
      <c r="E13" s="3" t="s">
        <v>13</v>
      </c>
      <c r="F13" s="1" t="s">
        <v>4</v>
      </c>
      <c r="G13" s="1" t="s">
        <v>14</v>
      </c>
      <c r="H13" s="10" t="s">
        <v>38</v>
      </c>
      <c r="I13" s="11" t="s">
        <v>39</v>
      </c>
    </row>
    <row r="14" spans="1:9" x14ac:dyDescent="0.25">
      <c r="A14" s="1" t="s">
        <v>5</v>
      </c>
      <c r="B14">
        <v>2.4489999999999998</v>
      </c>
      <c r="C14">
        <v>2.1520000000000001</v>
      </c>
      <c r="D14">
        <v>0.433</v>
      </c>
      <c r="E14">
        <v>0.23300000000000001</v>
      </c>
      <c r="F14">
        <v>0.59</v>
      </c>
      <c r="G14">
        <v>0.71499999999999997</v>
      </c>
      <c r="H14">
        <v>0.77500000000000002</v>
      </c>
      <c r="I14">
        <v>0.83799999999999997</v>
      </c>
    </row>
    <row r="15" spans="1:9" x14ac:dyDescent="0.25">
      <c r="A15" s="1" t="s">
        <v>6</v>
      </c>
      <c r="B15">
        <v>2.62</v>
      </c>
      <c r="C15">
        <v>2.4990000000000001</v>
      </c>
      <c r="D15">
        <v>0.46500000000000002</v>
      </c>
      <c r="E15">
        <v>0.33100000000000002</v>
      </c>
      <c r="F15">
        <v>0.66700000000000004</v>
      </c>
      <c r="G15">
        <v>0.76100000000000001</v>
      </c>
      <c r="H15">
        <v>0.92600000000000005</v>
      </c>
      <c r="I15">
        <v>0.82399999999999995</v>
      </c>
    </row>
    <row r="16" spans="1:9" x14ac:dyDescent="0.25">
      <c r="A16" s="1" t="s">
        <v>7</v>
      </c>
      <c r="B16">
        <v>2.2519999999999998</v>
      </c>
      <c r="C16">
        <v>2.1709999999999998</v>
      </c>
      <c r="D16">
        <v>0.443</v>
      </c>
      <c r="E16">
        <v>0.24199999999999999</v>
      </c>
      <c r="F16">
        <v>0.71799999999999997</v>
      </c>
      <c r="G16">
        <v>0.749</v>
      </c>
      <c r="H16">
        <v>0.85599999999999998</v>
      </c>
      <c r="I16">
        <v>0.63900000000000001</v>
      </c>
    </row>
    <row r="17" spans="1:9" x14ac:dyDescent="0.25">
      <c r="A17" s="1" t="s">
        <v>8</v>
      </c>
      <c r="B17">
        <v>2.2050000000000001</v>
      </c>
      <c r="C17">
        <v>2.0910000000000002</v>
      </c>
      <c r="D17">
        <v>0.45400000000000001</v>
      </c>
      <c r="E17">
        <v>0.246</v>
      </c>
      <c r="F17">
        <v>0.628</v>
      </c>
      <c r="G17">
        <v>0.875</v>
      </c>
      <c r="H17">
        <v>0.86899999999999999</v>
      </c>
      <c r="I17">
        <v>0.94499999999999995</v>
      </c>
    </row>
    <row r="18" spans="1:9" x14ac:dyDescent="0.25">
      <c r="A18" s="1" t="s">
        <v>9</v>
      </c>
      <c r="B18">
        <v>2.1520000000000001</v>
      </c>
      <c r="C18">
        <v>2.2610000000000001</v>
      </c>
      <c r="D18">
        <v>0.443</v>
      </c>
      <c r="E18">
        <v>0.23400000000000001</v>
      </c>
      <c r="F18">
        <v>0.59499999999999997</v>
      </c>
      <c r="G18">
        <v>0.94599999999999995</v>
      </c>
      <c r="H18">
        <v>0.83299999999999996</v>
      </c>
      <c r="I18">
        <v>0.88200000000000001</v>
      </c>
    </row>
    <row r="21" spans="1:9" x14ac:dyDescent="0.25">
      <c r="A21" s="15" t="s">
        <v>30</v>
      </c>
      <c r="B21" s="15"/>
      <c r="C21" s="15"/>
      <c r="D21" s="15"/>
      <c r="E21" s="15"/>
      <c r="F21" s="15"/>
      <c r="G21" s="15"/>
    </row>
    <row r="22" spans="1:9" x14ac:dyDescent="0.25">
      <c r="A22" s="16" t="s">
        <v>27</v>
      </c>
      <c r="B22" s="16"/>
      <c r="C22" s="16"/>
      <c r="D22" s="16"/>
      <c r="E22" s="16"/>
      <c r="F22" s="16"/>
      <c r="G22" s="16"/>
    </row>
    <row r="23" spans="1:9" ht="45" x14ac:dyDescent="0.25">
      <c r="A23" s="2"/>
      <c r="B23" s="1" t="s">
        <v>10</v>
      </c>
      <c r="C23" s="3" t="s">
        <v>11</v>
      </c>
      <c r="D23" s="1" t="s">
        <v>12</v>
      </c>
      <c r="E23" s="3" t="s">
        <v>13</v>
      </c>
      <c r="F23" s="1" t="s">
        <v>4</v>
      </c>
      <c r="G23" s="1" t="s">
        <v>14</v>
      </c>
      <c r="H23" s="10" t="s">
        <v>38</v>
      </c>
      <c r="I23" s="11" t="s">
        <v>39</v>
      </c>
    </row>
    <row r="24" spans="1:9" x14ac:dyDescent="0.25">
      <c r="A24" s="1" t="s">
        <v>5</v>
      </c>
      <c r="B24">
        <v>4.0389999999999997</v>
      </c>
      <c r="C24">
        <v>3.92</v>
      </c>
      <c r="D24">
        <v>0.57499999999999996</v>
      </c>
      <c r="E24">
        <v>0.25900000000000001</v>
      </c>
      <c r="F24">
        <v>0.70099999999999996</v>
      </c>
      <c r="G24">
        <v>1.387</v>
      </c>
      <c r="H24">
        <v>0.95299999999999996</v>
      </c>
      <c r="I24">
        <v>1.0489999999999999</v>
      </c>
    </row>
    <row r="25" spans="1:9" x14ac:dyDescent="0.25">
      <c r="A25" s="1" t="s">
        <v>6</v>
      </c>
      <c r="B25">
        <v>3.802</v>
      </c>
      <c r="C25">
        <v>3.7509999999999999</v>
      </c>
      <c r="D25">
        <v>0.51600000000000001</v>
      </c>
      <c r="E25">
        <v>0.29199999999999998</v>
      </c>
      <c r="F25">
        <v>0.69099999999999995</v>
      </c>
      <c r="G25">
        <v>0.82599999999999996</v>
      </c>
      <c r="H25">
        <v>1.087</v>
      </c>
      <c r="I25">
        <v>1.2170000000000001</v>
      </c>
    </row>
    <row r="26" spans="1:9" x14ac:dyDescent="0.25">
      <c r="A26" s="1" t="s">
        <v>7</v>
      </c>
      <c r="B26">
        <v>3.8849999999999998</v>
      </c>
      <c r="C26">
        <v>3.794</v>
      </c>
      <c r="D26">
        <v>0.45700000000000002</v>
      </c>
      <c r="E26">
        <v>0.28499999999999998</v>
      </c>
      <c r="F26">
        <v>0.97099999999999997</v>
      </c>
      <c r="G26">
        <v>1.03</v>
      </c>
      <c r="H26">
        <v>1.133</v>
      </c>
      <c r="I26">
        <v>0.90300000000000002</v>
      </c>
    </row>
    <row r="27" spans="1:9" x14ac:dyDescent="0.25">
      <c r="A27" s="1" t="s">
        <v>8</v>
      </c>
      <c r="B27">
        <v>3.7490000000000001</v>
      </c>
      <c r="C27">
        <v>3.7869999999999999</v>
      </c>
      <c r="D27">
        <v>0.55100000000000005</v>
      </c>
      <c r="E27">
        <v>0.31</v>
      </c>
      <c r="F27">
        <v>0.77400000000000002</v>
      </c>
      <c r="G27">
        <v>0.94299999999999995</v>
      </c>
      <c r="H27">
        <v>1.131</v>
      </c>
      <c r="I27">
        <v>1.2809999999999999</v>
      </c>
    </row>
    <row r="28" spans="1:9" x14ac:dyDescent="0.25">
      <c r="A28" s="1" t="s">
        <v>9</v>
      </c>
      <c r="B28">
        <v>4.0529999999999999</v>
      </c>
      <c r="C28">
        <v>4.2370000000000001</v>
      </c>
      <c r="D28">
        <v>0.48399999999999999</v>
      </c>
      <c r="E28">
        <v>0.32100000000000001</v>
      </c>
      <c r="F28">
        <v>0.68</v>
      </c>
      <c r="G28">
        <v>0.996</v>
      </c>
      <c r="H28">
        <v>1.147</v>
      </c>
      <c r="I28">
        <v>1.363</v>
      </c>
    </row>
    <row r="32" spans="1:9" x14ac:dyDescent="0.25">
      <c r="A32" s="15" t="s">
        <v>31</v>
      </c>
      <c r="B32" s="15"/>
      <c r="C32" s="15"/>
      <c r="D32" s="15"/>
      <c r="E32" s="15"/>
      <c r="F32" s="15"/>
      <c r="G32" s="15"/>
    </row>
    <row r="33" spans="1:9" x14ac:dyDescent="0.25">
      <c r="A33" s="16" t="s">
        <v>27</v>
      </c>
      <c r="B33" s="16"/>
      <c r="C33" s="16"/>
      <c r="D33" s="16"/>
      <c r="E33" s="16"/>
      <c r="F33" s="16"/>
      <c r="G33" s="16"/>
    </row>
    <row r="34" spans="1:9" ht="45" x14ac:dyDescent="0.25">
      <c r="A34" s="2"/>
      <c r="B34" s="1" t="s">
        <v>10</v>
      </c>
      <c r="C34" s="3" t="s">
        <v>11</v>
      </c>
      <c r="D34" s="1" t="s">
        <v>12</v>
      </c>
      <c r="E34" s="3" t="s">
        <v>13</v>
      </c>
      <c r="F34" s="1" t="s">
        <v>4</v>
      </c>
      <c r="G34" s="1" t="s">
        <v>14</v>
      </c>
      <c r="H34" s="10" t="s">
        <v>38</v>
      </c>
      <c r="I34" s="11" t="s">
        <v>39</v>
      </c>
    </row>
    <row r="35" spans="1:9" x14ac:dyDescent="0.25">
      <c r="A35" s="1" t="s">
        <v>5</v>
      </c>
      <c r="B35">
        <v>4.1980000000000004</v>
      </c>
      <c r="C35">
        <v>4.0369999999999999</v>
      </c>
      <c r="D35">
        <v>0.96699999999999997</v>
      </c>
      <c r="E35">
        <v>0.41599999999999998</v>
      </c>
      <c r="F35">
        <v>0.98399999999999999</v>
      </c>
      <c r="G35">
        <v>1.1160000000000001</v>
      </c>
      <c r="H35">
        <v>1.0309999999999999</v>
      </c>
      <c r="I35">
        <v>1.353</v>
      </c>
    </row>
    <row r="36" spans="1:9" x14ac:dyDescent="0.25">
      <c r="A36" s="1" t="s">
        <v>6</v>
      </c>
      <c r="B36">
        <v>4.0410000000000004</v>
      </c>
      <c r="C36">
        <v>3.8130000000000002</v>
      </c>
      <c r="D36">
        <v>1.0660000000000001</v>
      </c>
      <c r="E36">
        <v>0.58899999999999997</v>
      </c>
      <c r="F36">
        <v>0.77200000000000002</v>
      </c>
      <c r="G36">
        <v>1.248</v>
      </c>
      <c r="H36">
        <v>1.254</v>
      </c>
      <c r="I36">
        <v>1.266</v>
      </c>
    </row>
    <row r="37" spans="1:9" x14ac:dyDescent="0.25">
      <c r="A37" s="1" t="s">
        <v>7</v>
      </c>
      <c r="B37">
        <v>3.68</v>
      </c>
      <c r="C37">
        <v>3.9620000000000002</v>
      </c>
      <c r="D37">
        <v>1.002</v>
      </c>
      <c r="E37">
        <v>0.52600000000000002</v>
      </c>
      <c r="F37">
        <v>1.3839999999999999</v>
      </c>
      <c r="G37">
        <v>1.7330000000000001</v>
      </c>
      <c r="H37">
        <v>1.4410000000000001</v>
      </c>
      <c r="I37">
        <v>1.288</v>
      </c>
    </row>
    <row r="38" spans="1:9" x14ac:dyDescent="0.25">
      <c r="A38" s="1" t="s">
        <v>8</v>
      </c>
      <c r="B38">
        <v>4.141</v>
      </c>
      <c r="C38">
        <v>3.8340000000000001</v>
      </c>
      <c r="D38">
        <v>0.89700000000000002</v>
      </c>
      <c r="E38">
        <v>0.48799999999999999</v>
      </c>
      <c r="F38">
        <v>1.1140000000000001</v>
      </c>
      <c r="G38">
        <v>1.64</v>
      </c>
      <c r="H38">
        <v>1.351</v>
      </c>
      <c r="I38">
        <v>1.268</v>
      </c>
    </row>
    <row r="39" spans="1:9" x14ac:dyDescent="0.25">
      <c r="A39" s="1" t="s">
        <v>9</v>
      </c>
      <c r="B39">
        <v>4.1619999999999999</v>
      </c>
      <c r="C39">
        <v>3.8439999999999999</v>
      </c>
      <c r="D39">
        <v>0.91800000000000004</v>
      </c>
      <c r="E39">
        <v>0.46100000000000002</v>
      </c>
      <c r="F39">
        <v>1.373</v>
      </c>
      <c r="G39">
        <v>1.8759999999999999</v>
      </c>
      <c r="H39">
        <v>1.3240000000000001</v>
      </c>
      <c r="I39">
        <v>1.3620000000000001</v>
      </c>
    </row>
    <row r="53" spans="1:17" x14ac:dyDescent="0.25">
      <c r="A53" s="17" t="s">
        <v>32</v>
      </c>
      <c r="B53" s="17"/>
      <c r="C53" s="17"/>
      <c r="D53" s="17"/>
      <c r="E53" s="17"/>
      <c r="F53" s="17"/>
      <c r="G53" s="17"/>
    </row>
    <row r="54" spans="1:17" ht="45" x14ac:dyDescent="0.25">
      <c r="A54" s="2"/>
      <c r="B54" s="1" t="s">
        <v>10</v>
      </c>
      <c r="C54" s="3" t="s">
        <v>11</v>
      </c>
      <c r="D54" s="1" t="s">
        <v>12</v>
      </c>
      <c r="E54" s="3" t="s">
        <v>13</v>
      </c>
      <c r="F54" s="1" t="s">
        <v>4</v>
      </c>
      <c r="G54" s="1" t="s">
        <v>14</v>
      </c>
      <c r="H54" s="1" t="s">
        <v>49</v>
      </c>
      <c r="I54" s="1" t="s">
        <v>48</v>
      </c>
      <c r="M54" s="2"/>
      <c r="N54" s="1" t="s">
        <v>4</v>
      </c>
      <c r="O54" s="1" t="s">
        <v>14</v>
      </c>
      <c r="P54" s="1" t="s">
        <v>49</v>
      </c>
      <c r="Q54" s="1" t="s">
        <v>48</v>
      </c>
    </row>
    <row r="55" spans="1:17" x14ac:dyDescent="0.25">
      <c r="A55" s="1">
        <v>2</v>
      </c>
      <c r="B55">
        <f t="shared" ref="B55:G55" si="0">AVERAGE(B4:B8)</f>
        <v>1.35</v>
      </c>
      <c r="C55">
        <f t="shared" si="0"/>
        <v>1.2576000000000001</v>
      </c>
      <c r="D55">
        <f t="shared" si="0"/>
        <v>0.51219999999999999</v>
      </c>
      <c r="E55">
        <f t="shared" si="0"/>
        <v>0.23500000000000001</v>
      </c>
      <c r="F55">
        <f t="shared" si="0"/>
        <v>0.52259999999999995</v>
      </c>
      <c r="G55">
        <f t="shared" si="0"/>
        <v>0.46800000000000008</v>
      </c>
      <c r="H55">
        <f>AVERAGE(H4:H8)</f>
        <v>0.63260000000000005</v>
      </c>
      <c r="I55">
        <f>AVERAGE(I4:I8)</f>
        <v>0.6624000000000001</v>
      </c>
      <c r="M55" s="1">
        <v>2</v>
      </c>
      <c r="N55">
        <v>0.52259999999999995</v>
      </c>
      <c r="O55">
        <v>0.46800000000000008</v>
      </c>
      <c r="P55">
        <v>0.63260000000000005</v>
      </c>
      <c r="Q55">
        <v>0.6624000000000001</v>
      </c>
    </row>
    <row r="56" spans="1:17" x14ac:dyDescent="0.25">
      <c r="A56" s="1">
        <v>4</v>
      </c>
      <c r="B56">
        <f t="shared" ref="B56:G56" si="1">AVERAGE(B14:B18)</f>
        <v>2.3356000000000003</v>
      </c>
      <c r="C56">
        <f t="shared" si="1"/>
        <v>2.2347999999999999</v>
      </c>
      <c r="D56">
        <f t="shared" si="1"/>
        <v>0.4476</v>
      </c>
      <c r="E56">
        <f t="shared" si="1"/>
        <v>0.25719999999999998</v>
      </c>
      <c r="F56">
        <f t="shared" si="1"/>
        <v>0.63960000000000006</v>
      </c>
      <c r="G56">
        <f t="shared" si="1"/>
        <v>0.80920000000000003</v>
      </c>
      <c r="H56">
        <f>AVERAGE(H14:H18)</f>
        <v>0.85180000000000011</v>
      </c>
      <c r="I56">
        <f>AVERAGE(I14:I18)</f>
        <v>0.8256</v>
      </c>
      <c r="M56" s="1">
        <v>4</v>
      </c>
      <c r="N56">
        <v>0.63960000000000006</v>
      </c>
      <c r="O56">
        <v>0.80920000000000003</v>
      </c>
      <c r="P56">
        <v>0.85180000000000011</v>
      </c>
      <c r="Q56">
        <v>0.8256</v>
      </c>
    </row>
    <row r="57" spans="1:17" x14ac:dyDescent="0.25">
      <c r="A57" s="1">
        <v>8</v>
      </c>
      <c r="B57">
        <f t="shared" ref="B57:G57" si="2">AVERAGE(B24:B28)</f>
        <v>3.9055999999999997</v>
      </c>
      <c r="C57">
        <f t="shared" si="2"/>
        <v>3.8977999999999993</v>
      </c>
      <c r="D57">
        <f t="shared" si="2"/>
        <v>0.51660000000000006</v>
      </c>
      <c r="E57">
        <f t="shared" si="2"/>
        <v>0.29339999999999999</v>
      </c>
      <c r="F57">
        <f t="shared" si="2"/>
        <v>0.76340000000000008</v>
      </c>
      <c r="G57">
        <f t="shared" si="2"/>
        <v>1.0364</v>
      </c>
      <c r="H57">
        <f>AVERAGE(H24:H28)</f>
        <v>1.0902000000000001</v>
      </c>
      <c r="I57">
        <f>AVERAGE(I24:I28)</f>
        <v>1.1626000000000001</v>
      </c>
      <c r="M57" s="1">
        <v>8</v>
      </c>
      <c r="N57">
        <v>0.76340000000000008</v>
      </c>
      <c r="O57">
        <v>1.0364</v>
      </c>
      <c r="P57">
        <v>1.0902000000000001</v>
      </c>
      <c r="Q57">
        <v>1.1626000000000001</v>
      </c>
    </row>
    <row r="58" spans="1:17" x14ac:dyDescent="0.25">
      <c r="A58" s="1">
        <v>16</v>
      </c>
      <c r="B58">
        <f t="shared" ref="B58:G58" si="3">AVERAGE(B35:B39)</f>
        <v>4.0444000000000004</v>
      </c>
      <c r="C58">
        <f t="shared" si="3"/>
        <v>3.8979999999999997</v>
      </c>
      <c r="D58">
        <f t="shared" si="3"/>
        <v>0.97000000000000008</v>
      </c>
      <c r="E58">
        <f t="shared" si="3"/>
        <v>0.496</v>
      </c>
      <c r="F58">
        <f t="shared" si="3"/>
        <v>1.1254</v>
      </c>
      <c r="G58">
        <f t="shared" si="3"/>
        <v>1.5226</v>
      </c>
      <c r="H58">
        <f>AVERAGE(H35:H39)</f>
        <v>1.2802</v>
      </c>
      <c r="I58">
        <f>AVERAGE(I35:I39)</f>
        <v>1.3073999999999999</v>
      </c>
      <c r="M58" s="1">
        <v>16</v>
      </c>
      <c r="N58">
        <v>1.1254</v>
      </c>
      <c r="O58">
        <v>1.5226</v>
      </c>
      <c r="P58">
        <v>1.2802</v>
      </c>
      <c r="Q58">
        <v>1.3073999999999999</v>
      </c>
    </row>
  </sheetData>
  <mergeCells count="9">
    <mergeCell ref="A53:G53"/>
    <mergeCell ref="A33:G33"/>
    <mergeCell ref="A1:G1"/>
    <mergeCell ref="A2:G2"/>
    <mergeCell ref="A11:G11"/>
    <mergeCell ref="A12:G12"/>
    <mergeCell ref="A21:G21"/>
    <mergeCell ref="A22:G22"/>
    <mergeCell ref="A32:G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topLeftCell="J100" zoomScale="70" zoomScaleNormal="70" workbookViewId="0">
      <selection activeCell="P97" sqref="P97"/>
    </sheetView>
  </sheetViews>
  <sheetFormatPr defaultRowHeight="15" x14ac:dyDescent="0.25"/>
  <cols>
    <col min="9" max="9" width="13.5703125" bestFit="1" customWidth="1"/>
    <col min="10" max="10" width="15.85546875" bestFit="1" customWidth="1"/>
    <col min="11" max="11" width="24.7109375" customWidth="1"/>
    <col min="12" max="13" width="38.28515625" bestFit="1" customWidth="1"/>
    <col min="14" max="15" width="29" bestFit="1" customWidth="1"/>
    <col min="16" max="16" width="28" bestFit="1" customWidth="1"/>
    <col min="17" max="17" width="29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5" t="s">
        <v>16</v>
      </c>
      <c r="J1" s="15"/>
      <c r="K1" s="15"/>
      <c r="L1" s="15"/>
      <c r="M1" s="15"/>
      <c r="N1" s="15"/>
      <c r="O1" s="15"/>
    </row>
    <row r="2" spans="1:17" x14ac:dyDescent="0.25">
      <c r="A2" s="1">
        <v>2</v>
      </c>
      <c r="B2">
        <v>0</v>
      </c>
      <c r="C2">
        <v>0</v>
      </c>
      <c r="D2">
        <v>0</v>
      </c>
      <c r="E2">
        <v>0</v>
      </c>
      <c r="F2">
        <v>0.22659199999999999</v>
      </c>
      <c r="I2" s="16" t="s">
        <v>26</v>
      </c>
      <c r="J2" s="16"/>
      <c r="K2" s="16"/>
      <c r="L2" s="16"/>
      <c r="M2" s="16"/>
      <c r="N2" s="16"/>
      <c r="O2" s="16"/>
    </row>
    <row r="3" spans="1:17" ht="30" x14ac:dyDescent="0.25">
      <c r="A3" s="1">
        <v>4</v>
      </c>
      <c r="B3">
        <v>0</v>
      </c>
      <c r="C3">
        <v>0</v>
      </c>
      <c r="D3">
        <v>0</v>
      </c>
      <c r="E3">
        <v>0</v>
      </c>
      <c r="F3">
        <v>0.61385800000000001</v>
      </c>
      <c r="I3" s="2"/>
      <c r="J3" s="1" t="s">
        <v>10</v>
      </c>
      <c r="K3" s="3" t="s">
        <v>11</v>
      </c>
      <c r="L3" s="1" t="s">
        <v>12</v>
      </c>
      <c r="M3" s="3" t="s">
        <v>13</v>
      </c>
      <c r="N3" s="1" t="s">
        <v>4</v>
      </c>
      <c r="O3" s="1" t="s">
        <v>14</v>
      </c>
      <c r="P3" s="1" t="s">
        <v>38</v>
      </c>
      <c r="Q3" s="1" t="s">
        <v>46</v>
      </c>
    </row>
    <row r="4" spans="1:17" x14ac:dyDescent="0.25">
      <c r="A4" s="1">
        <v>8</v>
      </c>
      <c r="B4">
        <v>0.14438202247191009</v>
      </c>
      <c r="C4">
        <v>0</v>
      </c>
      <c r="D4">
        <v>0</v>
      </c>
      <c r="E4">
        <v>0</v>
      </c>
      <c r="F4">
        <v>0.37116100000000002</v>
      </c>
      <c r="I4" s="1" t="s">
        <v>5</v>
      </c>
      <c r="J4">
        <v>0</v>
      </c>
      <c r="K4">
        <v>0</v>
      </c>
      <c r="L4">
        <v>0</v>
      </c>
      <c r="M4">
        <v>0</v>
      </c>
      <c r="N4">
        <v>0.14299999999999999</v>
      </c>
      <c r="O4">
        <v>0.13500000000000001</v>
      </c>
      <c r="P4">
        <v>0</v>
      </c>
      <c r="Q4">
        <v>0.1</v>
      </c>
    </row>
    <row r="5" spans="1:17" x14ac:dyDescent="0.25">
      <c r="A5" s="1">
        <v>16</v>
      </c>
      <c r="B5">
        <v>5.561797752808989E-2</v>
      </c>
      <c r="C5">
        <v>0</v>
      </c>
      <c r="D5">
        <v>0</v>
      </c>
      <c r="E5">
        <v>0</v>
      </c>
      <c r="F5">
        <v>8.3145999999999998E-2</v>
      </c>
      <c r="I5" s="1" t="s">
        <v>6</v>
      </c>
      <c r="J5">
        <v>0</v>
      </c>
      <c r="K5">
        <v>0</v>
      </c>
      <c r="L5">
        <v>0</v>
      </c>
      <c r="N5">
        <v>0.14099999999999999</v>
      </c>
      <c r="O5">
        <v>0.1235</v>
      </c>
      <c r="P5">
        <v>0</v>
      </c>
      <c r="Q5">
        <v>0.1</v>
      </c>
    </row>
    <row r="6" spans="1:17" x14ac:dyDescent="0.25">
      <c r="I6" s="1" t="s">
        <v>7</v>
      </c>
      <c r="J6">
        <v>0</v>
      </c>
      <c r="K6">
        <v>0</v>
      </c>
      <c r="L6">
        <v>0</v>
      </c>
      <c r="N6">
        <v>0.13900000000000001</v>
      </c>
      <c r="O6">
        <v>0.14119999999999999</v>
      </c>
      <c r="P6">
        <v>0</v>
      </c>
      <c r="Q6">
        <v>0.100617</v>
      </c>
    </row>
    <row r="7" spans="1:17" x14ac:dyDescent="0.25">
      <c r="I7" s="1" t="s">
        <v>8</v>
      </c>
      <c r="J7">
        <v>0</v>
      </c>
      <c r="K7">
        <v>0</v>
      </c>
      <c r="L7">
        <v>0</v>
      </c>
      <c r="N7">
        <v>0.14299999999999999</v>
      </c>
      <c r="O7">
        <v>0.13400000000000001</v>
      </c>
      <c r="P7">
        <v>0</v>
      </c>
      <c r="Q7">
        <v>0.100617</v>
      </c>
    </row>
    <row r="8" spans="1:17" x14ac:dyDescent="0.25">
      <c r="I8" s="1" t="s">
        <v>9</v>
      </c>
      <c r="J8">
        <v>0</v>
      </c>
      <c r="K8">
        <v>0</v>
      </c>
      <c r="L8">
        <v>0</v>
      </c>
      <c r="N8">
        <v>0.1376</v>
      </c>
      <c r="O8">
        <v>0.104</v>
      </c>
      <c r="P8">
        <v>0</v>
      </c>
      <c r="Q8">
        <v>0.105</v>
      </c>
    </row>
    <row r="11" spans="1:17" x14ac:dyDescent="0.25">
      <c r="I11" s="20" t="s">
        <v>23</v>
      </c>
      <c r="J11" s="20"/>
      <c r="K11" s="20"/>
    </row>
    <row r="12" spans="1:17" x14ac:dyDescent="0.25">
      <c r="J12" s="1" t="s">
        <v>14</v>
      </c>
      <c r="K12" s="1" t="s">
        <v>4</v>
      </c>
    </row>
    <row r="13" spans="1:17" x14ac:dyDescent="0.25">
      <c r="A13" s="20" t="s">
        <v>23</v>
      </c>
      <c r="B13" s="20"/>
      <c r="C13" s="20"/>
      <c r="D13" s="20" t="s">
        <v>25</v>
      </c>
      <c r="E13" s="20"/>
      <c r="F13" s="20"/>
      <c r="I13" s="1" t="s">
        <v>5</v>
      </c>
      <c r="J13" s="4">
        <v>1</v>
      </c>
      <c r="K13" s="4">
        <v>1</v>
      </c>
    </row>
    <row r="14" spans="1:17" x14ac:dyDescent="0.25">
      <c r="B14" s="1" t="s">
        <v>14</v>
      </c>
      <c r="C14" s="1" t="s">
        <v>4</v>
      </c>
      <c r="I14" s="1" t="s">
        <v>6</v>
      </c>
      <c r="J14" s="4">
        <v>1</v>
      </c>
      <c r="K14" s="4">
        <v>1</v>
      </c>
    </row>
    <row r="15" spans="1:17" x14ac:dyDescent="0.25">
      <c r="A15" s="1" t="s">
        <v>18</v>
      </c>
      <c r="B15" s="4">
        <v>1</v>
      </c>
      <c r="C15" s="4">
        <v>1</v>
      </c>
      <c r="I15" s="1" t="s">
        <v>7</v>
      </c>
      <c r="J15" s="4">
        <v>0.75</v>
      </c>
      <c r="K15" s="4">
        <v>1</v>
      </c>
    </row>
    <row r="16" spans="1:17" x14ac:dyDescent="0.25">
      <c r="A16" s="1" t="s">
        <v>19</v>
      </c>
      <c r="B16" s="4">
        <v>1</v>
      </c>
      <c r="C16" s="4">
        <v>1</v>
      </c>
      <c r="I16" s="1" t="s">
        <v>8</v>
      </c>
      <c r="J16" s="4">
        <v>1</v>
      </c>
      <c r="K16" s="4">
        <v>1</v>
      </c>
    </row>
    <row r="17" spans="1:17" x14ac:dyDescent="0.25">
      <c r="A17" s="1" t="s">
        <v>20</v>
      </c>
      <c r="B17" s="4">
        <v>0.75</v>
      </c>
      <c r="C17" s="4">
        <v>0.75</v>
      </c>
      <c r="I17" s="1" t="s">
        <v>9</v>
      </c>
      <c r="J17" s="4">
        <v>1</v>
      </c>
      <c r="K17" s="4">
        <v>1</v>
      </c>
    </row>
    <row r="18" spans="1:17" x14ac:dyDescent="0.25">
      <c r="A18" s="1" t="s">
        <v>21</v>
      </c>
      <c r="B18" s="4">
        <v>1</v>
      </c>
      <c r="C18" s="4">
        <v>1</v>
      </c>
    </row>
    <row r="19" spans="1:17" ht="33" customHeight="1" x14ac:dyDescent="0.25">
      <c r="A19" s="1" t="s">
        <v>22</v>
      </c>
      <c r="B19" s="4">
        <v>1</v>
      </c>
      <c r="C19" s="4">
        <v>1</v>
      </c>
      <c r="I19" s="19" t="s">
        <v>24</v>
      </c>
      <c r="J19" s="19"/>
      <c r="K19" s="19"/>
    </row>
    <row r="20" spans="1:17" x14ac:dyDescent="0.25">
      <c r="I20" s="8"/>
      <c r="J20" s="1" t="s">
        <v>14</v>
      </c>
      <c r="K20" s="1" t="s">
        <v>4</v>
      </c>
      <c r="L20" s="1" t="s">
        <v>38</v>
      </c>
      <c r="M20" s="1" t="s">
        <v>39</v>
      </c>
    </row>
    <row r="21" spans="1:17" x14ac:dyDescent="0.25">
      <c r="I21" s="1" t="s">
        <v>5</v>
      </c>
      <c r="J21" s="5">
        <v>0.13830000000000001</v>
      </c>
      <c r="K21" s="5">
        <v>0.14499999999999999</v>
      </c>
      <c r="L21">
        <v>0</v>
      </c>
      <c r="M21" s="13">
        <v>0.10242999999999999</v>
      </c>
    </row>
    <row r="22" spans="1:17" x14ac:dyDescent="0.25">
      <c r="A22" s="20" t="s">
        <v>24</v>
      </c>
      <c r="B22" s="20"/>
      <c r="C22" s="20"/>
      <c r="I22" s="1" t="s">
        <v>6</v>
      </c>
      <c r="J22" s="5">
        <v>0.13289999999999999</v>
      </c>
      <c r="K22" s="5">
        <v>0.14369999999999999</v>
      </c>
      <c r="L22">
        <v>0</v>
      </c>
      <c r="M22" s="13">
        <v>0.10242999999999999</v>
      </c>
    </row>
    <row r="23" spans="1:17" x14ac:dyDescent="0.25">
      <c r="B23" s="1" t="s">
        <v>14</v>
      </c>
      <c r="C23" s="1" t="s">
        <v>4</v>
      </c>
      <c r="I23" s="1" t="s">
        <v>7</v>
      </c>
      <c r="J23" s="5">
        <v>0.13478000000000001</v>
      </c>
      <c r="K23" s="5">
        <v>0.1419</v>
      </c>
      <c r="L23">
        <v>0</v>
      </c>
      <c r="M23" s="13">
        <v>0.10242999999999999</v>
      </c>
    </row>
    <row r="24" spans="1:17" x14ac:dyDescent="0.25">
      <c r="A24" s="1" t="s">
        <v>18</v>
      </c>
      <c r="B24" s="5">
        <v>0.65410699999999999</v>
      </c>
      <c r="C24" s="5">
        <v>0.68580065000000001</v>
      </c>
      <c r="I24" s="1" t="s">
        <v>8</v>
      </c>
      <c r="J24" s="5">
        <v>0.10603</v>
      </c>
      <c r="K24" s="5">
        <v>0.14549999999999999</v>
      </c>
      <c r="L24">
        <v>0</v>
      </c>
      <c r="M24" s="13">
        <v>0.10242999999999999</v>
      </c>
    </row>
    <row r="25" spans="1:17" x14ac:dyDescent="0.25">
      <c r="A25" s="1" t="s">
        <v>19</v>
      </c>
      <c r="B25" s="5">
        <v>0.25178899999999999</v>
      </c>
      <c r="C25" s="5">
        <v>0.28385932000000003</v>
      </c>
      <c r="I25" s="1" t="s">
        <v>9</v>
      </c>
      <c r="J25" s="5">
        <v>0.13478000000000001</v>
      </c>
      <c r="K25" s="5">
        <v>0.14016999999999999</v>
      </c>
      <c r="L25">
        <v>0</v>
      </c>
      <c r="M25" s="13">
        <v>0.10242999999999999</v>
      </c>
    </row>
    <row r="26" spans="1:17" x14ac:dyDescent="0.25">
      <c r="A26" s="1" t="s">
        <v>20</v>
      </c>
      <c r="B26" s="5">
        <v>4.5900000000000003E-2</v>
      </c>
      <c r="C26" s="5">
        <v>1.882E-2</v>
      </c>
    </row>
    <row r="27" spans="1:17" x14ac:dyDescent="0.25">
      <c r="A27" s="1" t="s">
        <v>21</v>
      </c>
      <c r="B27" s="5">
        <v>0.44219999999999998</v>
      </c>
      <c r="C27" s="5">
        <v>0.4022</v>
      </c>
    </row>
    <row r="28" spans="1:17" x14ac:dyDescent="0.25">
      <c r="A28" s="1" t="s">
        <v>22</v>
      </c>
      <c r="B28" s="5">
        <v>4.0084099999999996</v>
      </c>
      <c r="C28" s="5">
        <v>3.9586399999999999</v>
      </c>
    </row>
    <row r="29" spans="1:17" x14ac:dyDescent="0.25">
      <c r="I29" s="15" t="s">
        <v>29</v>
      </c>
      <c r="J29" s="15"/>
      <c r="K29" s="15"/>
      <c r="L29" s="15"/>
      <c r="M29" s="15"/>
      <c r="N29" s="15"/>
      <c r="O29" s="15"/>
    </row>
    <row r="30" spans="1:17" x14ac:dyDescent="0.25">
      <c r="I30" s="16" t="s">
        <v>26</v>
      </c>
      <c r="J30" s="16"/>
      <c r="K30" s="16"/>
      <c r="L30" s="16"/>
      <c r="M30" s="16"/>
      <c r="N30" s="16"/>
      <c r="O30" s="16"/>
    </row>
    <row r="31" spans="1:17" ht="30" x14ac:dyDescent="0.25">
      <c r="I31" s="2"/>
      <c r="J31" s="1" t="s">
        <v>10</v>
      </c>
      <c r="K31" s="3" t="s">
        <v>11</v>
      </c>
      <c r="L31" s="1" t="s">
        <v>12</v>
      </c>
      <c r="M31" s="3" t="s">
        <v>13</v>
      </c>
      <c r="N31" s="1" t="s">
        <v>4</v>
      </c>
      <c r="O31" s="1" t="s">
        <v>14</v>
      </c>
      <c r="P31" s="10" t="s">
        <v>38</v>
      </c>
      <c r="Q31" s="11" t="s">
        <v>39</v>
      </c>
    </row>
    <row r="32" spans="1:17" x14ac:dyDescent="0.25">
      <c r="I32" s="1" t="s">
        <v>5</v>
      </c>
      <c r="J32">
        <v>0</v>
      </c>
      <c r="K32">
        <v>0</v>
      </c>
      <c r="L32">
        <v>0</v>
      </c>
      <c r="M32">
        <v>0</v>
      </c>
      <c r="N32">
        <v>0.26400000000000001</v>
      </c>
      <c r="O32">
        <v>0.27889999999999998</v>
      </c>
      <c r="P32">
        <v>0</v>
      </c>
      <c r="Q32">
        <v>2.8000000000000001E-2</v>
      </c>
    </row>
    <row r="33" spans="9:17" x14ac:dyDescent="0.25">
      <c r="I33" s="1" t="s">
        <v>6</v>
      </c>
      <c r="J33">
        <v>0</v>
      </c>
      <c r="K33">
        <v>0</v>
      </c>
      <c r="L33">
        <v>0</v>
      </c>
      <c r="M33">
        <v>0</v>
      </c>
      <c r="N33">
        <v>0.26650000000000001</v>
      </c>
      <c r="O33">
        <v>0.26600000000000001</v>
      </c>
      <c r="P33">
        <v>0</v>
      </c>
      <c r="Q33">
        <v>3.177E-2</v>
      </c>
    </row>
    <row r="34" spans="9:17" x14ac:dyDescent="0.25">
      <c r="I34" s="1" t="s">
        <v>7</v>
      </c>
      <c r="J34">
        <v>0</v>
      </c>
      <c r="K34">
        <v>0</v>
      </c>
      <c r="L34">
        <v>0</v>
      </c>
      <c r="M34">
        <v>0</v>
      </c>
      <c r="N34">
        <v>0.25700000000000001</v>
      </c>
      <c r="O34">
        <v>0.247</v>
      </c>
      <c r="P34">
        <v>0</v>
      </c>
      <c r="Q34">
        <v>2.47E-2</v>
      </c>
    </row>
    <row r="35" spans="9:17" x14ac:dyDescent="0.25">
      <c r="I35" s="1" t="s">
        <v>8</v>
      </c>
      <c r="J35">
        <v>0</v>
      </c>
      <c r="K35">
        <v>0</v>
      </c>
      <c r="L35">
        <v>0</v>
      </c>
      <c r="M35">
        <v>0</v>
      </c>
      <c r="N35">
        <v>0.25769999999999998</v>
      </c>
      <c r="O35">
        <v>0.28420000000000001</v>
      </c>
      <c r="P35">
        <v>0</v>
      </c>
      <c r="Q35">
        <v>0.33500000000000002</v>
      </c>
    </row>
    <row r="36" spans="9:17" x14ac:dyDescent="0.25">
      <c r="I36" s="1" t="s">
        <v>9</v>
      </c>
      <c r="J36">
        <v>0</v>
      </c>
      <c r="K36">
        <v>0</v>
      </c>
      <c r="L36">
        <v>0</v>
      </c>
      <c r="M36">
        <v>0</v>
      </c>
      <c r="N36">
        <v>0.25700000000000001</v>
      </c>
      <c r="O36">
        <v>0.23100000000000001</v>
      </c>
      <c r="P36">
        <v>0</v>
      </c>
      <c r="Q36">
        <v>5.5599999999999997E-2</v>
      </c>
    </row>
    <row r="38" spans="9:17" x14ac:dyDescent="0.25">
      <c r="I38" s="19" t="s">
        <v>24</v>
      </c>
      <c r="J38" s="19"/>
      <c r="K38" s="19"/>
    </row>
    <row r="39" spans="9:17" x14ac:dyDescent="0.25">
      <c r="I39" s="8"/>
      <c r="J39" s="1" t="s">
        <v>14</v>
      </c>
      <c r="K39" s="1" t="s">
        <v>4</v>
      </c>
      <c r="L39" s="1" t="s">
        <v>38</v>
      </c>
      <c r="M39" s="1" t="s">
        <v>39</v>
      </c>
    </row>
    <row r="40" spans="9:17" x14ac:dyDescent="0.25">
      <c r="I40" s="1" t="s">
        <v>5</v>
      </c>
      <c r="J40" s="5">
        <v>0.30185000000000001</v>
      </c>
      <c r="K40" s="5">
        <v>0.28835</v>
      </c>
      <c r="L40">
        <v>0</v>
      </c>
      <c r="M40" s="12">
        <v>2.8039999999999999E-2</v>
      </c>
    </row>
    <row r="41" spans="9:17" x14ac:dyDescent="0.25">
      <c r="I41" s="1" t="s">
        <v>6</v>
      </c>
      <c r="J41" s="5">
        <v>0.30647999999999997</v>
      </c>
      <c r="K41" s="5">
        <v>0.28047</v>
      </c>
      <c r="L41">
        <v>0</v>
      </c>
      <c r="M41" s="13">
        <v>3.9550000000000002E-2</v>
      </c>
    </row>
    <row r="42" spans="9:17" x14ac:dyDescent="0.25">
      <c r="I42" s="1" t="s">
        <v>7</v>
      </c>
      <c r="J42" s="5">
        <v>0.25635999999999998</v>
      </c>
      <c r="K42" s="5">
        <v>0.28089999999999998</v>
      </c>
      <c r="L42">
        <v>0</v>
      </c>
      <c r="M42" s="13">
        <v>2.4459999999999999E-2</v>
      </c>
    </row>
    <row r="43" spans="9:17" x14ac:dyDescent="0.25">
      <c r="I43" s="1" t="s">
        <v>8</v>
      </c>
      <c r="J43" s="5">
        <v>0.25635999999999998</v>
      </c>
      <c r="K43" s="5">
        <v>0.28142</v>
      </c>
      <c r="L43">
        <v>0</v>
      </c>
      <c r="M43" s="13">
        <v>5.67E-2</v>
      </c>
    </row>
    <row r="44" spans="9:17" x14ac:dyDescent="0.25">
      <c r="I44" s="1" t="s">
        <v>9</v>
      </c>
      <c r="J44" s="5">
        <v>0.26471</v>
      </c>
      <c r="K44" s="5">
        <v>0.28060000000000002</v>
      </c>
      <c r="L44">
        <v>0</v>
      </c>
      <c r="M44" s="13">
        <v>5.5300000000000002E-2</v>
      </c>
    </row>
    <row r="47" spans="9:17" x14ac:dyDescent="0.25">
      <c r="I47" s="15" t="s">
        <v>30</v>
      </c>
      <c r="J47" s="15"/>
      <c r="K47" s="15"/>
      <c r="L47" s="15"/>
      <c r="M47" s="15"/>
      <c r="N47" s="15"/>
      <c r="O47" s="15"/>
    </row>
    <row r="48" spans="9:17" x14ac:dyDescent="0.25">
      <c r="I48" s="16" t="s">
        <v>26</v>
      </c>
      <c r="J48" s="16"/>
      <c r="K48" s="16"/>
      <c r="L48" s="16"/>
      <c r="M48" s="16"/>
      <c r="N48" s="16"/>
      <c r="O48" s="16"/>
    </row>
    <row r="49" spans="9:17" ht="30" x14ac:dyDescent="0.25">
      <c r="I49" s="2"/>
      <c r="J49" s="1" t="s">
        <v>10</v>
      </c>
      <c r="K49" s="3" t="s">
        <v>11</v>
      </c>
      <c r="L49" s="1" t="s">
        <v>12</v>
      </c>
      <c r="M49" s="3" t="s">
        <v>13</v>
      </c>
      <c r="N49" s="1" t="s">
        <v>4</v>
      </c>
      <c r="O49" s="1" t="s">
        <v>14</v>
      </c>
      <c r="P49" s="10" t="s">
        <v>38</v>
      </c>
      <c r="Q49" s="11" t="s">
        <v>39</v>
      </c>
    </row>
    <row r="50" spans="9:17" x14ac:dyDescent="0.25">
      <c r="I50" s="1" t="s">
        <v>5</v>
      </c>
      <c r="J50">
        <v>8.8000000000000005E-3</v>
      </c>
      <c r="K50">
        <v>0</v>
      </c>
      <c r="L50">
        <v>0</v>
      </c>
      <c r="M50">
        <v>0</v>
      </c>
      <c r="N50">
        <v>0.49769999999999998</v>
      </c>
      <c r="O50">
        <v>0.52</v>
      </c>
      <c r="P50">
        <v>0</v>
      </c>
      <c r="Q50">
        <v>0.03</v>
      </c>
    </row>
    <row r="51" spans="9:17" x14ac:dyDescent="0.25">
      <c r="I51" s="1" t="s">
        <v>6</v>
      </c>
      <c r="J51">
        <v>8.8000000000000005E-3</v>
      </c>
      <c r="K51">
        <v>0</v>
      </c>
      <c r="L51">
        <v>0</v>
      </c>
      <c r="M51">
        <v>0</v>
      </c>
      <c r="N51">
        <v>0.49419999999999997</v>
      </c>
      <c r="O51">
        <v>0.52</v>
      </c>
      <c r="P51">
        <v>0</v>
      </c>
      <c r="Q51">
        <v>2.64E-2</v>
      </c>
    </row>
    <row r="52" spans="9:17" x14ac:dyDescent="0.25">
      <c r="I52" s="1" t="s">
        <v>7</v>
      </c>
      <c r="J52">
        <v>1.7600000000000001E-2</v>
      </c>
      <c r="K52">
        <v>0</v>
      </c>
      <c r="L52">
        <v>0</v>
      </c>
      <c r="M52">
        <v>0</v>
      </c>
      <c r="N52">
        <v>0.50800000000000001</v>
      </c>
      <c r="O52">
        <v>0.51200000000000001</v>
      </c>
      <c r="P52">
        <v>0</v>
      </c>
      <c r="Q52">
        <v>2.1100000000000001E-2</v>
      </c>
    </row>
    <row r="53" spans="9:17" x14ac:dyDescent="0.25">
      <c r="I53" s="1" t="s">
        <v>8</v>
      </c>
      <c r="J53">
        <v>1.7650000000000001E-3</v>
      </c>
      <c r="K53">
        <v>0</v>
      </c>
      <c r="L53">
        <v>0</v>
      </c>
      <c r="M53">
        <v>0</v>
      </c>
      <c r="N53">
        <v>0.496</v>
      </c>
      <c r="O53">
        <v>0.51500000000000001</v>
      </c>
      <c r="P53">
        <v>0</v>
      </c>
      <c r="Q53">
        <v>2.4E-2</v>
      </c>
    </row>
    <row r="54" spans="9:17" x14ac:dyDescent="0.25">
      <c r="I54" s="1" t="s">
        <v>9</v>
      </c>
      <c r="J54">
        <v>1.235E-2</v>
      </c>
      <c r="K54">
        <v>0</v>
      </c>
      <c r="L54">
        <v>0</v>
      </c>
      <c r="M54">
        <v>0</v>
      </c>
      <c r="N54">
        <v>0.49199999999999999</v>
      </c>
      <c r="O54">
        <v>0.52</v>
      </c>
      <c r="P54">
        <v>0</v>
      </c>
      <c r="Q54">
        <v>2.8199999999999999E-2</v>
      </c>
    </row>
    <row r="56" spans="9:17" x14ac:dyDescent="0.25">
      <c r="I56" s="19" t="s">
        <v>24</v>
      </c>
      <c r="J56" s="19"/>
      <c r="K56" s="19"/>
    </row>
    <row r="57" spans="9:17" x14ac:dyDescent="0.25">
      <c r="I57" s="8"/>
      <c r="J57" s="1" t="s">
        <v>14</v>
      </c>
      <c r="K57" s="1" t="s">
        <v>4</v>
      </c>
      <c r="L57" s="1" t="s">
        <v>10</v>
      </c>
      <c r="M57" s="1" t="s">
        <v>38</v>
      </c>
      <c r="N57" s="1" t="s">
        <v>39</v>
      </c>
    </row>
    <row r="58" spans="9:17" x14ac:dyDescent="0.25">
      <c r="I58" s="1" t="s">
        <v>5</v>
      </c>
      <c r="J58" s="5">
        <v>0.72699999999999998</v>
      </c>
      <c r="K58" s="5">
        <v>0.70520000000000005</v>
      </c>
      <c r="L58" s="5">
        <v>6.4360000000000001E-2</v>
      </c>
      <c r="M58" s="5">
        <v>0</v>
      </c>
      <c r="N58" s="5">
        <v>6.8699999999999997E-2</v>
      </c>
    </row>
    <row r="59" spans="9:17" x14ac:dyDescent="0.25">
      <c r="I59" s="1" t="s">
        <v>6</v>
      </c>
      <c r="J59" s="5">
        <v>0.72260000000000002</v>
      </c>
      <c r="K59" s="5">
        <v>0.70047999999999999</v>
      </c>
      <c r="L59" s="5">
        <v>2.7895E-2</v>
      </c>
      <c r="M59" s="5">
        <v>0</v>
      </c>
      <c r="N59" s="5">
        <v>5.5399999999999998E-2</v>
      </c>
    </row>
    <row r="60" spans="9:17" x14ac:dyDescent="0.25">
      <c r="I60" s="1" t="s">
        <v>7</v>
      </c>
      <c r="J60" s="5">
        <v>0.72843000000000002</v>
      </c>
      <c r="K60" s="5">
        <v>0.71528000000000003</v>
      </c>
      <c r="L60" s="5">
        <v>6.9589999999999999E-2</v>
      </c>
      <c r="M60" s="5">
        <v>0</v>
      </c>
      <c r="N60" s="5">
        <v>5.8900000000000001E-2</v>
      </c>
    </row>
    <row r="61" spans="9:17" x14ac:dyDescent="0.25">
      <c r="I61" s="1" t="s">
        <v>8</v>
      </c>
      <c r="J61" s="5">
        <v>0.70989999999999998</v>
      </c>
      <c r="K61" s="5">
        <v>0.70389999999999997</v>
      </c>
      <c r="L61" s="5">
        <v>5.3400000000000001E-3</v>
      </c>
      <c r="M61" s="5">
        <v>0</v>
      </c>
      <c r="N61" s="5">
        <v>6.5000000000000002E-2</v>
      </c>
    </row>
    <row r="62" spans="9:17" x14ac:dyDescent="0.25">
      <c r="I62" s="1" t="s">
        <v>9</v>
      </c>
      <c r="J62" s="5">
        <v>0.73624000000000001</v>
      </c>
      <c r="K62" s="5">
        <v>0.69613999999999998</v>
      </c>
      <c r="L62" s="5">
        <v>2.7349999999999999E-2</v>
      </c>
      <c r="M62" s="5">
        <v>0</v>
      </c>
      <c r="N62" s="5">
        <v>5.7000000000000002E-2</v>
      </c>
    </row>
    <row r="66" spans="9:17" x14ac:dyDescent="0.25">
      <c r="I66" s="15" t="s">
        <v>31</v>
      </c>
      <c r="J66" s="15"/>
      <c r="K66" s="15"/>
      <c r="L66" s="15"/>
      <c r="M66" s="15"/>
      <c r="N66" s="15"/>
      <c r="O66" s="15"/>
    </row>
    <row r="67" spans="9:17" x14ac:dyDescent="0.25">
      <c r="I67" s="16" t="s">
        <v>26</v>
      </c>
      <c r="J67" s="16"/>
      <c r="K67" s="16"/>
      <c r="L67" s="16"/>
      <c r="M67" s="16"/>
      <c r="N67" s="16"/>
      <c r="O67" s="16"/>
    </row>
    <row r="68" spans="9:17" ht="30" x14ac:dyDescent="0.25">
      <c r="I68" s="2"/>
      <c r="J68" s="1" t="s">
        <v>10</v>
      </c>
      <c r="K68" s="3" t="s">
        <v>11</v>
      </c>
      <c r="L68" s="1" t="s">
        <v>12</v>
      </c>
      <c r="M68" s="3" t="s">
        <v>13</v>
      </c>
      <c r="N68" s="1" t="s">
        <v>4</v>
      </c>
      <c r="O68" s="1" t="s">
        <v>14</v>
      </c>
      <c r="P68" s="10" t="s">
        <v>38</v>
      </c>
      <c r="Q68" s="11" t="s">
        <v>39</v>
      </c>
    </row>
    <row r="69" spans="9:17" x14ac:dyDescent="0.25">
      <c r="I69" s="1" t="s">
        <v>5</v>
      </c>
      <c r="J69">
        <v>2.5999999999999999E-2</v>
      </c>
      <c r="K69">
        <v>0</v>
      </c>
      <c r="L69">
        <v>0</v>
      </c>
      <c r="M69">
        <v>0</v>
      </c>
      <c r="N69">
        <v>0.86099999999999999</v>
      </c>
      <c r="O69">
        <v>0.88600000000000001</v>
      </c>
      <c r="P69">
        <v>0</v>
      </c>
      <c r="Q69">
        <v>2.8199999999999999E-2</v>
      </c>
    </row>
    <row r="70" spans="9:17" x14ac:dyDescent="0.25">
      <c r="I70" s="1" t="s">
        <v>6</v>
      </c>
      <c r="J70">
        <v>2.8000000000000001E-2</v>
      </c>
      <c r="K70">
        <v>0</v>
      </c>
      <c r="L70">
        <v>8.8000000000000005E-3</v>
      </c>
      <c r="M70">
        <v>0</v>
      </c>
      <c r="N70">
        <v>0.85699999999999998</v>
      </c>
      <c r="O70">
        <v>0.85899999999999999</v>
      </c>
      <c r="P70">
        <v>0</v>
      </c>
      <c r="Q70">
        <v>3.3500000000000002E-2</v>
      </c>
    </row>
    <row r="71" spans="9:17" x14ac:dyDescent="0.25">
      <c r="I71" s="1" t="s">
        <v>7</v>
      </c>
      <c r="J71">
        <v>8.8000000000000005E-3</v>
      </c>
      <c r="K71">
        <v>0</v>
      </c>
      <c r="L71">
        <v>0</v>
      </c>
      <c r="M71">
        <v>0</v>
      </c>
      <c r="N71">
        <v>0.86099999999999999</v>
      </c>
      <c r="O71">
        <v>0.88400000000000001</v>
      </c>
      <c r="P71">
        <v>0</v>
      </c>
      <c r="Q71">
        <v>3.1699999999999999E-2</v>
      </c>
    </row>
    <row r="72" spans="9:17" x14ac:dyDescent="0.25">
      <c r="I72" s="1" t="s">
        <v>8</v>
      </c>
      <c r="J72">
        <v>8.8000000000000005E-3</v>
      </c>
      <c r="K72">
        <v>0</v>
      </c>
      <c r="L72">
        <v>0</v>
      </c>
      <c r="M72">
        <v>0</v>
      </c>
      <c r="N72">
        <v>0.86099999999999999</v>
      </c>
      <c r="O72">
        <v>0.872</v>
      </c>
      <c r="P72">
        <v>0</v>
      </c>
      <c r="Q72">
        <v>3.3500000000000002E-2</v>
      </c>
    </row>
    <row r="73" spans="9:17" x14ac:dyDescent="0.25">
      <c r="I73" s="1" t="s">
        <v>9</v>
      </c>
      <c r="J73">
        <v>0.01</v>
      </c>
      <c r="K73">
        <v>0</v>
      </c>
      <c r="L73">
        <v>0</v>
      </c>
      <c r="M73">
        <v>0</v>
      </c>
      <c r="N73">
        <v>0.86399999999999999</v>
      </c>
      <c r="O73">
        <v>0.85199999999999998</v>
      </c>
      <c r="P73">
        <v>0</v>
      </c>
      <c r="Q73">
        <v>2.8199999999999999E-2</v>
      </c>
    </row>
    <row r="75" spans="9:17" x14ac:dyDescent="0.25">
      <c r="I75" s="19" t="s">
        <v>24</v>
      </c>
      <c r="J75" s="19"/>
      <c r="K75" s="19"/>
    </row>
    <row r="76" spans="9:17" x14ac:dyDescent="0.25">
      <c r="I76" s="8"/>
      <c r="J76" s="1" t="s">
        <v>14</v>
      </c>
      <c r="K76" s="1" t="s">
        <v>4</v>
      </c>
      <c r="L76" s="1" t="s">
        <v>10</v>
      </c>
      <c r="M76" s="1" t="s">
        <v>12</v>
      </c>
      <c r="N76" s="1" t="s">
        <v>38</v>
      </c>
      <c r="O76" s="1" t="s">
        <v>39</v>
      </c>
    </row>
    <row r="77" spans="9:17" x14ac:dyDescent="0.25">
      <c r="I77" s="1" t="s">
        <v>5</v>
      </c>
      <c r="J77" s="5">
        <v>3.0508000000000002</v>
      </c>
      <c r="K77" s="5">
        <v>2.9619</v>
      </c>
      <c r="L77" s="5">
        <v>0.34789999999999999</v>
      </c>
      <c r="M77" s="5">
        <v>0</v>
      </c>
      <c r="N77" s="5">
        <v>0</v>
      </c>
      <c r="O77" s="5">
        <v>3.7699999999999997E-2</v>
      </c>
    </row>
    <row r="78" spans="9:17" x14ac:dyDescent="0.25">
      <c r="I78" s="1" t="s">
        <v>6</v>
      </c>
      <c r="J78" s="5">
        <v>2.9685000000000001</v>
      </c>
      <c r="K78" s="5">
        <v>2.9735</v>
      </c>
      <c r="L78" s="5">
        <v>0.45129999999999998</v>
      </c>
      <c r="M78" s="5">
        <v>8.5150000000000003E-2</v>
      </c>
      <c r="N78" s="5">
        <v>0</v>
      </c>
      <c r="O78" s="5">
        <v>3.5699999999999996E-2</v>
      </c>
    </row>
    <row r="79" spans="9:17" x14ac:dyDescent="0.25">
      <c r="I79" s="1" t="s">
        <v>7</v>
      </c>
      <c r="J79" s="5">
        <v>3.0464000000000002</v>
      </c>
      <c r="K79" s="5">
        <v>3.1938</v>
      </c>
      <c r="L79" s="5">
        <v>0.31740000000000002</v>
      </c>
      <c r="M79" s="5">
        <v>0</v>
      </c>
      <c r="N79" s="5">
        <v>0</v>
      </c>
      <c r="O79" s="5">
        <v>4.0099999999999997E-2</v>
      </c>
    </row>
    <row r="80" spans="9:17" x14ac:dyDescent="0.25">
      <c r="I80" s="1" t="s">
        <v>8</v>
      </c>
      <c r="J80" s="5">
        <v>2.9824899999999999</v>
      </c>
      <c r="K80" s="5">
        <v>3.1509</v>
      </c>
      <c r="L80" s="5">
        <v>0.2127</v>
      </c>
      <c r="M80" s="5">
        <v>0</v>
      </c>
      <c r="N80" s="5">
        <v>0</v>
      </c>
      <c r="O80" s="5">
        <v>4.9749999999999996E-2</v>
      </c>
    </row>
    <row r="81" spans="9:15" x14ac:dyDescent="0.25">
      <c r="I81" s="1" t="s">
        <v>9</v>
      </c>
      <c r="J81" s="5">
        <v>2.9942299999999999</v>
      </c>
      <c r="K81" s="5">
        <v>2.9701399999999998</v>
      </c>
      <c r="L81" s="5">
        <v>0.213114</v>
      </c>
      <c r="M81" s="5">
        <v>0</v>
      </c>
      <c r="N81" s="5">
        <v>0</v>
      </c>
      <c r="O81" s="5">
        <v>2.988E-2</v>
      </c>
    </row>
    <row r="86" spans="9:15" x14ac:dyDescent="0.25">
      <c r="I86" s="17" t="s">
        <v>37</v>
      </c>
      <c r="J86" s="17"/>
      <c r="K86" s="17"/>
      <c r="L86" s="17"/>
      <c r="M86" s="17"/>
      <c r="N86" s="17"/>
      <c r="O86" s="17"/>
    </row>
    <row r="87" spans="9:15" x14ac:dyDescent="0.25">
      <c r="I87" s="16" t="s">
        <v>17</v>
      </c>
      <c r="J87" s="16"/>
      <c r="K87" s="16"/>
      <c r="L87" s="16"/>
      <c r="M87" s="16"/>
      <c r="N87" s="16"/>
      <c r="O87" s="16"/>
    </row>
    <row r="88" spans="9:15" x14ac:dyDescent="0.25">
      <c r="I88" s="9"/>
      <c r="J88" s="1" t="s">
        <v>4</v>
      </c>
      <c r="K88" s="1" t="s">
        <v>14</v>
      </c>
      <c r="L88" s="1" t="s">
        <v>10</v>
      </c>
      <c r="M88" s="1" t="s">
        <v>49</v>
      </c>
      <c r="N88" s="1" t="s">
        <v>48</v>
      </c>
    </row>
    <row r="89" spans="9:15" x14ac:dyDescent="0.25">
      <c r="I89" s="1">
        <v>2</v>
      </c>
      <c r="J89" s="14">
        <f>AVERAGE(N4:N8)</f>
        <v>0.14072000000000001</v>
      </c>
      <c r="K89" s="14">
        <f>AVERAGE(O4:O8)</f>
        <v>0.12754000000000001</v>
      </c>
      <c r="L89" s="14">
        <v>0</v>
      </c>
      <c r="M89" s="14">
        <f>AVERAGE(P4:P8)</f>
        <v>0</v>
      </c>
      <c r="N89" s="14">
        <f>AVERAGE(Q4:Q8)</f>
        <v>0.10124680000000001</v>
      </c>
    </row>
    <row r="90" spans="9:15" x14ac:dyDescent="0.25">
      <c r="I90" s="1">
        <v>4</v>
      </c>
      <c r="J90" s="14">
        <f>AVERAGE(N32:N36)</f>
        <v>0.26044</v>
      </c>
      <c r="K90" s="14">
        <f>AVERAGE(O32:O36)</f>
        <v>0.26141999999999999</v>
      </c>
      <c r="L90" s="14">
        <v>0</v>
      </c>
      <c r="M90" s="14">
        <f t="shared" ref="M90:M92" si="0">AVERAGE(P5:P9)</f>
        <v>0</v>
      </c>
      <c r="N90" s="14">
        <f>AVERAGE(Q32:Q36)</f>
        <v>9.5014000000000001E-2</v>
      </c>
    </row>
    <row r="91" spans="9:15" x14ac:dyDescent="0.25">
      <c r="I91" s="1">
        <v>8</v>
      </c>
      <c r="J91" s="14">
        <f>AVERAGE(N50:N54)</f>
        <v>0.49757999999999997</v>
      </c>
      <c r="K91" s="14">
        <f>AVERAGE(O50:O54)</f>
        <v>0.51740000000000008</v>
      </c>
      <c r="L91" s="14">
        <f>AVERAGE(J50:J54)</f>
        <v>9.8630000000000002E-3</v>
      </c>
      <c r="M91" s="14">
        <f t="shared" si="0"/>
        <v>0</v>
      </c>
      <c r="N91" s="14">
        <f>AVERAGE(Q50:Q54)</f>
        <v>2.5940000000000001E-2</v>
      </c>
    </row>
    <row r="92" spans="9:15" x14ac:dyDescent="0.25">
      <c r="I92" s="1">
        <v>16</v>
      </c>
      <c r="J92" s="14">
        <f>AVERAGE(N69:N73)</f>
        <v>0.8607999999999999</v>
      </c>
      <c r="K92" s="14">
        <f>AVERAGE(O69:O73)</f>
        <v>0.87059999999999993</v>
      </c>
      <c r="L92" s="14">
        <f>AVERAGE(J69:J73)</f>
        <v>1.6319999999999998E-2</v>
      </c>
      <c r="M92" s="14">
        <f t="shared" si="0"/>
        <v>0</v>
      </c>
      <c r="N92" s="14">
        <f>AVERAGE(Q69:Q73)</f>
        <v>3.1020000000000002E-2</v>
      </c>
    </row>
    <row r="95" spans="9:15" x14ac:dyDescent="0.25">
      <c r="I95" s="18" t="s">
        <v>24</v>
      </c>
      <c r="J95" s="18"/>
      <c r="K95" s="18"/>
    </row>
    <row r="96" spans="9:15" x14ac:dyDescent="0.25">
      <c r="J96" s="1" t="s">
        <v>14</v>
      </c>
      <c r="K96" s="1" t="s">
        <v>4</v>
      </c>
      <c r="L96" s="1" t="s">
        <v>10</v>
      </c>
      <c r="M96" s="10" t="s">
        <v>43</v>
      </c>
      <c r="N96" s="11" t="s">
        <v>44</v>
      </c>
    </row>
    <row r="97" spans="9:14" x14ac:dyDescent="0.25">
      <c r="I97" s="1">
        <v>2</v>
      </c>
      <c r="J97" s="5">
        <f>AVERAGE(J21:J25)</f>
        <v>0.129358</v>
      </c>
      <c r="K97" s="5">
        <f>AVERAGE(K21:K25)</f>
        <v>0.14325399999999999</v>
      </c>
      <c r="L97" s="5">
        <v>0</v>
      </c>
      <c r="M97">
        <v>0</v>
      </c>
      <c r="N97" s="12">
        <f>AVERAGE(M21:M25)</f>
        <v>0.10242999999999999</v>
      </c>
    </row>
    <row r="98" spans="9:14" x14ac:dyDescent="0.25">
      <c r="I98" s="1">
        <v>4</v>
      </c>
      <c r="J98" s="5">
        <f>AVERAGE(J40:J44)</f>
        <v>0.27715199999999995</v>
      </c>
      <c r="K98" s="5">
        <f>AVERAGE(K40:K44)</f>
        <v>0.28234799999999999</v>
      </c>
      <c r="L98" s="5">
        <v>0</v>
      </c>
      <c r="M98">
        <v>0</v>
      </c>
      <c r="N98" s="12">
        <f>AVERAGE(M40:M44)</f>
        <v>4.0809999999999999E-2</v>
      </c>
    </row>
    <row r="99" spans="9:14" x14ac:dyDescent="0.25">
      <c r="I99" s="1">
        <v>8</v>
      </c>
      <c r="J99" s="5">
        <f>AVERAGE(J58:J62)</f>
        <v>0.72483399999999998</v>
      </c>
      <c r="K99" s="5">
        <f>AVERAGE(K58:K62)</f>
        <v>0.70419999999999994</v>
      </c>
      <c r="L99" s="5">
        <f>AVERAGE(L58:L62)</f>
        <v>3.8907000000000004E-2</v>
      </c>
      <c r="M99">
        <v>0</v>
      </c>
      <c r="N99" s="5">
        <f>AVERAGE(N58:N62)</f>
        <v>6.0999999999999999E-2</v>
      </c>
    </row>
    <row r="100" spans="9:14" x14ac:dyDescent="0.25">
      <c r="I100" s="1">
        <v>16</v>
      </c>
      <c r="J100" s="5">
        <f>AVERAGE(J77:J81)</f>
        <v>3.0084840000000002</v>
      </c>
      <c r="K100" s="5">
        <f>AVERAGE(K77:K81)</f>
        <v>3.0500479999999994</v>
      </c>
      <c r="L100" s="5">
        <f>AVERAGE(L77:L81)</f>
        <v>0.3084828</v>
      </c>
      <c r="M100">
        <v>0</v>
      </c>
      <c r="N100" s="5">
        <f>AVERAGE(O77:O81)</f>
        <v>3.8625999999999994E-2</v>
      </c>
    </row>
  </sheetData>
  <mergeCells count="19">
    <mergeCell ref="I56:K56"/>
    <mergeCell ref="A13:C13"/>
    <mergeCell ref="A22:C22"/>
    <mergeCell ref="D13:F13"/>
    <mergeCell ref="I1:O1"/>
    <mergeCell ref="I2:O2"/>
    <mergeCell ref="I11:K11"/>
    <mergeCell ref="I19:K19"/>
    <mergeCell ref="I29:O29"/>
    <mergeCell ref="I30:O30"/>
    <mergeCell ref="I38:K38"/>
    <mergeCell ref="I47:O47"/>
    <mergeCell ref="I48:O48"/>
    <mergeCell ref="I86:O86"/>
    <mergeCell ref="I87:O87"/>
    <mergeCell ref="I95:K95"/>
    <mergeCell ref="I66:O66"/>
    <mergeCell ref="I67:O67"/>
    <mergeCell ref="I75:K75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4D72-F78A-4DDA-B457-73CCDF99CA64}">
  <dimension ref="A2:M62"/>
  <sheetViews>
    <sheetView topLeftCell="A48" workbookViewId="0">
      <selection activeCell="L44" sqref="L44"/>
    </sheetView>
  </sheetViews>
  <sheetFormatPr defaultRowHeight="15" x14ac:dyDescent="0.25"/>
  <cols>
    <col min="2" max="2" width="15.85546875" bestFit="1" customWidth="1"/>
    <col min="3" max="3" width="17" customWidth="1"/>
    <col min="4" max="4" width="38.28515625" bestFit="1" customWidth="1"/>
    <col min="5" max="5" width="24.140625" customWidth="1"/>
    <col min="6" max="6" width="9.5703125" bestFit="1" customWidth="1"/>
    <col min="7" max="7" width="6.140625" bestFit="1" customWidth="1"/>
    <col min="8" max="8" width="28" bestFit="1" customWidth="1"/>
    <col min="9" max="9" width="29" bestFit="1" customWidth="1"/>
    <col min="12" max="12" width="21.85546875" bestFit="1" customWidth="1"/>
    <col min="13" max="13" width="23.28515625" bestFit="1" customWidth="1"/>
  </cols>
  <sheetData>
    <row r="2" spans="1:9" x14ac:dyDescent="0.25">
      <c r="A2" s="24" t="s">
        <v>45</v>
      </c>
      <c r="B2" s="24"/>
      <c r="C2" s="24"/>
      <c r="D2" s="24"/>
      <c r="E2" s="24"/>
      <c r="F2" s="24"/>
      <c r="G2" s="24"/>
    </row>
    <row r="3" spans="1:9" x14ac:dyDescent="0.25">
      <c r="A3" s="21" t="s">
        <v>28</v>
      </c>
      <c r="B3" s="22"/>
      <c r="C3" s="22"/>
      <c r="D3" s="22"/>
      <c r="E3" s="22"/>
      <c r="F3" s="22"/>
      <c r="G3" s="23"/>
    </row>
    <row r="4" spans="1:9" ht="45" x14ac:dyDescent="0.25">
      <c r="A4" s="7"/>
      <c r="B4" s="3" t="s">
        <v>10</v>
      </c>
      <c r="C4" s="3" t="s">
        <v>11</v>
      </c>
      <c r="D4" s="3" t="s">
        <v>12</v>
      </c>
      <c r="E4" s="3" t="s">
        <v>13</v>
      </c>
      <c r="F4" s="3" t="s">
        <v>4</v>
      </c>
      <c r="G4" s="3" t="s">
        <v>14</v>
      </c>
      <c r="H4" s="10" t="s">
        <v>38</v>
      </c>
      <c r="I4" s="1" t="s">
        <v>46</v>
      </c>
    </row>
    <row r="5" spans="1:9" x14ac:dyDescent="0.25">
      <c r="A5" s="3" t="s">
        <v>5</v>
      </c>
      <c r="B5" s="6">
        <v>0</v>
      </c>
      <c r="C5" s="6">
        <v>0</v>
      </c>
      <c r="D5" s="6">
        <v>60</v>
      </c>
      <c r="E5" s="6">
        <v>40</v>
      </c>
      <c r="F5" s="6">
        <v>9</v>
      </c>
      <c r="G5" s="6">
        <v>2</v>
      </c>
      <c r="H5" s="6">
        <v>3</v>
      </c>
      <c r="I5" s="6">
        <v>44</v>
      </c>
    </row>
    <row r="6" spans="1:9" x14ac:dyDescent="0.25">
      <c r="A6" s="3" t="s">
        <v>6</v>
      </c>
      <c r="B6" s="6">
        <v>0</v>
      </c>
      <c r="C6" s="6">
        <v>2</v>
      </c>
      <c r="D6" s="6">
        <v>62</v>
      </c>
      <c r="E6" s="6">
        <v>44</v>
      </c>
      <c r="F6" s="6">
        <v>17</v>
      </c>
      <c r="G6" s="6">
        <v>2</v>
      </c>
      <c r="H6" s="6">
        <v>4</v>
      </c>
      <c r="I6" s="6">
        <v>63</v>
      </c>
    </row>
    <row r="7" spans="1:9" x14ac:dyDescent="0.25">
      <c r="A7" s="3" t="s">
        <v>7</v>
      </c>
      <c r="B7" s="6">
        <v>0</v>
      </c>
      <c r="C7" s="6">
        <v>2</v>
      </c>
      <c r="D7" s="6">
        <v>44</v>
      </c>
      <c r="E7" s="6">
        <v>42</v>
      </c>
      <c r="F7" s="6">
        <v>11</v>
      </c>
      <c r="G7" s="6">
        <v>2</v>
      </c>
      <c r="H7" s="6">
        <v>13</v>
      </c>
      <c r="I7" s="6">
        <v>9</v>
      </c>
    </row>
    <row r="8" spans="1:9" x14ac:dyDescent="0.25">
      <c r="A8" s="3" t="s">
        <v>8</v>
      </c>
      <c r="B8" s="6">
        <v>0</v>
      </c>
      <c r="C8" s="6">
        <v>2</v>
      </c>
      <c r="D8" s="6">
        <v>74</v>
      </c>
      <c r="E8" s="6">
        <v>61</v>
      </c>
      <c r="F8" s="6">
        <v>12</v>
      </c>
      <c r="G8" s="6">
        <v>2</v>
      </c>
      <c r="H8" s="6">
        <v>75</v>
      </c>
      <c r="I8" s="6">
        <v>10</v>
      </c>
    </row>
    <row r="9" spans="1:9" x14ac:dyDescent="0.25">
      <c r="A9" s="3" t="s">
        <v>9</v>
      </c>
      <c r="B9" s="6">
        <v>0</v>
      </c>
      <c r="C9" s="6">
        <v>0</v>
      </c>
      <c r="D9" s="6">
        <v>44</v>
      </c>
      <c r="E9" s="6">
        <v>66</v>
      </c>
      <c r="F9" s="6">
        <v>14</v>
      </c>
      <c r="G9" s="6">
        <v>2</v>
      </c>
      <c r="H9" s="6">
        <v>3</v>
      </c>
      <c r="I9" s="6">
        <v>13</v>
      </c>
    </row>
    <row r="12" spans="1:9" ht="15" customHeight="1" x14ac:dyDescent="0.25">
      <c r="A12" s="15" t="s">
        <v>29</v>
      </c>
      <c r="B12" s="15"/>
      <c r="C12" s="15"/>
      <c r="D12" s="15"/>
      <c r="E12" s="15"/>
      <c r="F12" s="15"/>
      <c r="G12" s="15"/>
    </row>
    <row r="13" spans="1:9" x14ac:dyDescent="0.25">
      <c r="A13" s="21" t="s">
        <v>28</v>
      </c>
      <c r="B13" s="22"/>
      <c r="C13" s="22"/>
      <c r="D13" s="22"/>
      <c r="E13" s="22"/>
      <c r="F13" s="22"/>
      <c r="G13" s="23"/>
    </row>
    <row r="14" spans="1:9" ht="45" x14ac:dyDescent="0.25">
      <c r="A14" s="2"/>
      <c r="B14" s="1" t="s">
        <v>10</v>
      </c>
      <c r="C14" s="3" t="s">
        <v>11</v>
      </c>
      <c r="D14" s="1" t="s">
        <v>12</v>
      </c>
      <c r="E14" s="3" t="s">
        <v>13</v>
      </c>
      <c r="F14" s="1" t="s">
        <v>4</v>
      </c>
      <c r="G14" s="1" t="s">
        <v>14</v>
      </c>
      <c r="H14" s="10" t="s">
        <v>38</v>
      </c>
      <c r="I14" s="11" t="s">
        <v>39</v>
      </c>
    </row>
    <row r="15" spans="1:9" x14ac:dyDescent="0.25">
      <c r="A15" s="1" t="s">
        <v>5</v>
      </c>
      <c r="B15">
        <v>85</v>
      </c>
      <c r="C15">
        <v>53</v>
      </c>
      <c r="D15">
        <v>93</v>
      </c>
      <c r="E15">
        <v>74</v>
      </c>
      <c r="F15">
        <v>15</v>
      </c>
      <c r="G15">
        <v>6</v>
      </c>
      <c r="H15">
        <v>58</v>
      </c>
      <c r="I15">
        <v>39</v>
      </c>
    </row>
    <row r="16" spans="1:9" x14ac:dyDescent="0.25">
      <c r="A16" s="1" t="s">
        <v>6</v>
      </c>
      <c r="B16">
        <v>17</v>
      </c>
      <c r="C16">
        <v>35</v>
      </c>
      <c r="D16">
        <v>87</v>
      </c>
      <c r="E16">
        <v>71</v>
      </c>
      <c r="F16">
        <v>38</v>
      </c>
      <c r="G16">
        <v>7</v>
      </c>
      <c r="H16">
        <v>110</v>
      </c>
      <c r="I16">
        <v>63</v>
      </c>
    </row>
    <row r="17" spans="1:9" x14ac:dyDescent="0.25">
      <c r="A17" s="1" t="s">
        <v>7</v>
      </c>
      <c r="B17">
        <v>33</v>
      </c>
      <c r="C17">
        <v>48</v>
      </c>
      <c r="D17">
        <v>75</v>
      </c>
      <c r="E17">
        <v>84</v>
      </c>
      <c r="F17">
        <v>24</v>
      </c>
      <c r="G17">
        <v>7</v>
      </c>
      <c r="H17">
        <v>101</v>
      </c>
      <c r="I17">
        <v>19</v>
      </c>
    </row>
    <row r="18" spans="1:9" x14ac:dyDescent="0.25">
      <c r="A18" s="1" t="s">
        <v>8</v>
      </c>
      <c r="B18">
        <v>69</v>
      </c>
      <c r="C18">
        <v>64</v>
      </c>
      <c r="D18">
        <v>99</v>
      </c>
      <c r="E18">
        <v>76</v>
      </c>
      <c r="F18">
        <v>21</v>
      </c>
      <c r="G18">
        <v>30</v>
      </c>
      <c r="H18">
        <v>88</v>
      </c>
      <c r="I18">
        <v>61</v>
      </c>
    </row>
    <row r="19" spans="1:9" x14ac:dyDescent="0.25">
      <c r="A19" s="1" t="s">
        <v>9</v>
      </c>
      <c r="B19">
        <v>41</v>
      </c>
      <c r="C19">
        <v>23</v>
      </c>
      <c r="D19">
        <v>82</v>
      </c>
      <c r="E19">
        <v>87</v>
      </c>
      <c r="F19">
        <v>16</v>
      </c>
      <c r="G19">
        <v>9</v>
      </c>
      <c r="H19">
        <v>63</v>
      </c>
      <c r="I19">
        <v>22</v>
      </c>
    </row>
    <row r="26" spans="1:9" x14ac:dyDescent="0.25">
      <c r="A26" s="15" t="s">
        <v>30</v>
      </c>
      <c r="B26" s="15"/>
      <c r="C26" s="15"/>
      <c r="D26" s="15"/>
      <c r="E26" s="15"/>
      <c r="F26" s="15"/>
      <c r="G26" s="15"/>
    </row>
    <row r="27" spans="1:9" x14ac:dyDescent="0.25">
      <c r="A27" s="21" t="s">
        <v>28</v>
      </c>
      <c r="B27" s="22"/>
      <c r="C27" s="22"/>
      <c r="D27" s="22"/>
      <c r="E27" s="22"/>
      <c r="F27" s="22"/>
      <c r="G27" s="23"/>
    </row>
    <row r="28" spans="1:9" ht="45" x14ac:dyDescent="0.25">
      <c r="A28" s="2"/>
      <c r="B28" s="1" t="s">
        <v>10</v>
      </c>
      <c r="C28" s="3" t="s">
        <v>11</v>
      </c>
      <c r="D28" s="1" t="s">
        <v>12</v>
      </c>
      <c r="E28" s="3" t="s">
        <v>13</v>
      </c>
      <c r="F28" s="1" t="s">
        <v>4</v>
      </c>
      <c r="G28" s="1" t="s">
        <v>14</v>
      </c>
      <c r="H28" s="10" t="s">
        <v>38</v>
      </c>
      <c r="I28" s="11" t="s">
        <v>39</v>
      </c>
    </row>
    <row r="29" spans="1:9" x14ac:dyDescent="0.25">
      <c r="A29" s="1" t="s">
        <v>5</v>
      </c>
      <c r="B29">
        <v>42</v>
      </c>
      <c r="C29">
        <v>39</v>
      </c>
      <c r="D29">
        <v>39</v>
      </c>
      <c r="E29">
        <v>61</v>
      </c>
      <c r="F29">
        <v>39</v>
      </c>
      <c r="G29">
        <v>11</v>
      </c>
      <c r="H29">
        <v>124</v>
      </c>
      <c r="I29">
        <v>113</v>
      </c>
    </row>
    <row r="30" spans="1:9" x14ac:dyDescent="0.25">
      <c r="A30" s="1" t="s">
        <v>6</v>
      </c>
      <c r="B30">
        <v>42</v>
      </c>
      <c r="C30">
        <v>41</v>
      </c>
      <c r="D30">
        <v>54</v>
      </c>
      <c r="E30">
        <v>42</v>
      </c>
      <c r="F30">
        <v>34</v>
      </c>
      <c r="G30">
        <v>18</v>
      </c>
      <c r="H30">
        <v>104</v>
      </c>
      <c r="I30">
        <v>122</v>
      </c>
    </row>
    <row r="31" spans="1:9" x14ac:dyDescent="0.25">
      <c r="A31" s="1" t="s">
        <v>7</v>
      </c>
      <c r="B31">
        <v>74</v>
      </c>
      <c r="C31">
        <v>49</v>
      </c>
      <c r="D31">
        <v>53</v>
      </c>
      <c r="E31">
        <v>48</v>
      </c>
      <c r="F31">
        <v>41</v>
      </c>
      <c r="G31">
        <v>18</v>
      </c>
      <c r="H31">
        <v>92</v>
      </c>
      <c r="I31">
        <v>132</v>
      </c>
    </row>
    <row r="32" spans="1:9" x14ac:dyDescent="0.25">
      <c r="A32" s="1" t="s">
        <v>8</v>
      </c>
      <c r="B32">
        <v>40</v>
      </c>
      <c r="C32">
        <v>19</v>
      </c>
      <c r="D32">
        <v>72</v>
      </c>
      <c r="E32">
        <v>57</v>
      </c>
      <c r="F32">
        <v>31</v>
      </c>
      <c r="G32">
        <v>14</v>
      </c>
      <c r="H32">
        <v>114</v>
      </c>
      <c r="I32">
        <v>116</v>
      </c>
    </row>
    <row r="33" spans="1:9" x14ac:dyDescent="0.25">
      <c r="A33" s="1" t="s">
        <v>9</v>
      </c>
      <c r="B33">
        <v>13</v>
      </c>
      <c r="C33">
        <v>35</v>
      </c>
      <c r="D33">
        <v>65</v>
      </c>
      <c r="E33">
        <v>23</v>
      </c>
      <c r="F33">
        <v>24</v>
      </c>
      <c r="G33">
        <v>19</v>
      </c>
      <c r="H33">
        <v>101</v>
      </c>
      <c r="I33">
        <v>112</v>
      </c>
    </row>
    <row r="38" spans="1:9" x14ac:dyDescent="0.25">
      <c r="A38" s="15" t="s">
        <v>31</v>
      </c>
      <c r="B38" s="15"/>
      <c r="C38" s="15"/>
      <c r="D38" s="15"/>
      <c r="E38" s="15"/>
      <c r="F38" s="15"/>
      <c r="G38" s="15"/>
    </row>
    <row r="39" spans="1:9" x14ac:dyDescent="0.25">
      <c r="A39" s="21" t="s">
        <v>28</v>
      </c>
      <c r="B39" s="22"/>
      <c r="C39" s="22"/>
      <c r="D39" s="22"/>
      <c r="E39" s="22"/>
      <c r="F39" s="22"/>
      <c r="G39" s="23"/>
    </row>
    <row r="40" spans="1:9" ht="45" x14ac:dyDescent="0.25">
      <c r="A40" s="2"/>
      <c r="B40" s="1" t="s">
        <v>10</v>
      </c>
      <c r="C40" s="3" t="s">
        <v>11</v>
      </c>
      <c r="D40" s="1" t="s">
        <v>12</v>
      </c>
      <c r="E40" s="3" t="s">
        <v>13</v>
      </c>
      <c r="F40" s="1" t="s">
        <v>4</v>
      </c>
      <c r="G40" s="1" t="s">
        <v>14</v>
      </c>
      <c r="H40" s="10" t="s">
        <v>38</v>
      </c>
      <c r="I40" s="11" t="s">
        <v>39</v>
      </c>
    </row>
    <row r="41" spans="1:9" x14ac:dyDescent="0.25">
      <c r="A41" s="1" t="s">
        <v>5</v>
      </c>
      <c r="B41">
        <v>118</v>
      </c>
      <c r="C41">
        <v>142</v>
      </c>
      <c r="D41">
        <v>72</v>
      </c>
      <c r="E41">
        <v>53</v>
      </c>
      <c r="F41">
        <v>56</v>
      </c>
      <c r="G41">
        <v>77</v>
      </c>
      <c r="H41">
        <v>132</v>
      </c>
      <c r="I41">
        <v>195</v>
      </c>
    </row>
    <row r="42" spans="1:9" x14ac:dyDescent="0.25">
      <c r="A42" s="1" t="s">
        <v>6</v>
      </c>
      <c r="B42">
        <v>128</v>
      </c>
      <c r="C42">
        <v>139</v>
      </c>
      <c r="D42">
        <v>15</v>
      </c>
      <c r="E42">
        <v>43</v>
      </c>
      <c r="F42">
        <v>33</v>
      </c>
      <c r="G42">
        <v>65</v>
      </c>
      <c r="H42">
        <v>197</v>
      </c>
      <c r="I42">
        <v>183</v>
      </c>
    </row>
    <row r="43" spans="1:9" x14ac:dyDescent="0.25">
      <c r="A43" s="1" t="s">
        <v>7</v>
      </c>
      <c r="B43">
        <v>148</v>
      </c>
      <c r="C43">
        <v>129</v>
      </c>
      <c r="D43">
        <v>49</v>
      </c>
      <c r="E43">
        <v>51</v>
      </c>
      <c r="F43">
        <v>32</v>
      </c>
      <c r="G43">
        <v>64</v>
      </c>
      <c r="H43">
        <v>179</v>
      </c>
      <c r="I43">
        <v>161</v>
      </c>
    </row>
    <row r="44" spans="1:9" x14ac:dyDescent="0.25">
      <c r="A44" s="1" t="s">
        <v>8</v>
      </c>
      <c r="B44">
        <v>159</v>
      </c>
      <c r="C44">
        <v>145</v>
      </c>
      <c r="D44">
        <v>38</v>
      </c>
      <c r="E44">
        <v>41</v>
      </c>
      <c r="F44">
        <v>48</v>
      </c>
      <c r="G44">
        <v>93</v>
      </c>
      <c r="H44">
        <v>242</v>
      </c>
      <c r="I44">
        <v>180</v>
      </c>
    </row>
    <row r="45" spans="1:9" x14ac:dyDescent="0.25">
      <c r="A45" s="1" t="s">
        <v>9</v>
      </c>
      <c r="B45">
        <v>148</v>
      </c>
      <c r="C45">
        <v>152</v>
      </c>
      <c r="D45">
        <v>54</v>
      </c>
      <c r="E45">
        <v>48</v>
      </c>
      <c r="F45">
        <v>69</v>
      </c>
      <c r="G45">
        <v>95</v>
      </c>
      <c r="H45">
        <v>192</v>
      </c>
      <c r="I45">
        <v>183</v>
      </c>
    </row>
    <row r="49" spans="1:13" x14ac:dyDescent="0.25">
      <c r="A49" s="17" t="s">
        <v>32</v>
      </c>
      <c r="B49" s="17"/>
      <c r="C49" s="17"/>
      <c r="D49" s="17"/>
      <c r="E49" s="17"/>
      <c r="F49" s="17"/>
      <c r="G49" s="17"/>
    </row>
    <row r="50" spans="1:13" ht="45" x14ac:dyDescent="0.25">
      <c r="A50" s="2"/>
      <c r="B50" s="1" t="s">
        <v>10</v>
      </c>
      <c r="C50" s="3" t="s">
        <v>11</v>
      </c>
      <c r="D50" s="1" t="s">
        <v>12</v>
      </c>
      <c r="E50" s="3" t="s">
        <v>13</v>
      </c>
      <c r="F50" s="1" t="s">
        <v>4</v>
      </c>
      <c r="G50" s="1" t="s">
        <v>14</v>
      </c>
      <c r="H50" s="10" t="s">
        <v>43</v>
      </c>
      <c r="I50" s="11" t="s">
        <v>42</v>
      </c>
    </row>
    <row r="51" spans="1:13" x14ac:dyDescent="0.25">
      <c r="A51" s="1" t="s">
        <v>33</v>
      </c>
      <c r="B51">
        <f t="shared" ref="B51:G51" si="0">AVERAGE(B5:B9)</f>
        <v>0</v>
      </c>
      <c r="C51">
        <f t="shared" si="0"/>
        <v>1.2</v>
      </c>
      <c r="D51">
        <f t="shared" si="0"/>
        <v>56.8</v>
      </c>
      <c r="E51">
        <f t="shared" si="0"/>
        <v>50.6</v>
      </c>
      <c r="F51">
        <f t="shared" si="0"/>
        <v>12.6</v>
      </c>
      <c r="G51">
        <f t="shared" si="0"/>
        <v>2</v>
      </c>
      <c r="H51">
        <f>AVERAGE(H5:H9)</f>
        <v>19.600000000000001</v>
      </c>
      <c r="I51">
        <f>AVERAGE(I5:I9)</f>
        <v>27.8</v>
      </c>
    </row>
    <row r="52" spans="1:13" x14ac:dyDescent="0.25">
      <c r="A52" s="1" t="s">
        <v>34</v>
      </c>
      <c r="B52">
        <f>AVERAGE(B15:B19)</f>
        <v>49</v>
      </c>
      <c r="C52">
        <f>AVERAGE(C15:C19)</f>
        <v>44.6</v>
      </c>
      <c r="D52">
        <f>AVERAGE(D15:D19)</f>
        <v>87.2</v>
      </c>
      <c r="E52">
        <f>AVERAGE(E29:E33)</f>
        <v>46.2</v>
      </c>
      <c r="F52">
        <f>AVERAGE(F15:F19)</f>
        <v>22.8</v>
      </c>
      <c r="G52">
        <f>AVERAGE(G15:G19)</f>
        <v>11.8</v>
      </c>
      <c r="H52">
        <f>AVERAGE(H15:H19)</f>
        <v>84</v>
      </c>
      <c r="I52">
        <f>AVERAGE(I15:I19)</f>
        <v>40.799999999999997</v>
      </c>
    </row>
    <row r="53" spans="1:13" x14ac:dyDescent="0.25">
      <c r="A53" s="1" t="s">
        <v>35</v>
      </c>
      <c r="B53">
        <f t="shared" ref="B53:G53" si="1">AVERAGE(B29:B33)</f>
        <v>42.2</v>
      </c>
      <c r="C53">
        <f t="shared" si="1"/>
        <v>36.6</v>
      </c>
      <c r="D53">
        <f t="shared" si="1"/>
        <v>56.6</v>
      </c>
      <c r="E53">
        <f t="shared" si="1"/>
        <v>46.2</v>
      </c>
      <c r="F53">
        <f t="shared" si="1"/>
        <v>33.799999999999997</v>
      </c>
      <c r="G53">
        <f t="shared" si="1"/>
        <v>16</v>
      </c>
      <c r="H53">
        <f>AVERAGE(H29:H33)</f>
        <v>107</v>
      </c>
      <c r="I53">
        <f>AVERAGE(I29:I33)</f>
        <v>119</v>
      </c>
    </row>
    <row r="54" spans="1:13" x14ac:dyDescent="0.25">
      <c r="A54" s="1" t="s">
        <v>36</v>
      </c>
      <c r="B54">
        <f t="shared" ref="B54:G54" si="2">AVERAGE(B41:B45)</f>
        <v>140.19999999999999</v>
      </c>
      <c r="C54">
        <f t="shared" si="2"/>
        <v>141.4</v>
      </c>
      <c r="D54">
        <f t="shared" si="2"/>
        <v>45.6</v>
      </c>
      <c r="E54">
        <f t="shared" si="2"/>
        <v>47.2</v>
      </c>
      <c r="F54">
        <f t="shared" si="2"/>
        <v>47.6</v>
      </c>
      <c r="G54">
        <f t="shared" si="2"/>
        <v>78.8</v>
      </c>
      <c r="H54">
        <f>AVERAGE(H41:H45)</f>
        <v>188.4</v>
      </c>
      <c r="I54">
        <f>AVERAGE(I41:I45)</f>
        <v>180.4</v>
      </c>
    </row>
    <row r="58" spans="1:13" x14ac:dyDescent="0.25">
      <c r="I58" s="2"/>
      <c r="J58" s="1" t="s">
        <v>4</v>
      </c>
      <c r="K58" s="1" t="s">
        <v>14</v>
      </c>
      <c r="L58" s="10" t="s">
        <v>40</v>
      </c>
      <c r="M58" s="11" t="s">
        <v>41</v>
      </c>
    </row>
    <row r="59" spans="1:13" x14ac:dyDescent="0.25">
      <c r="I59" s="1" t="s">
        <v>33</v>
      </c>
      <c r="J59">
        <v>12.6</v>
      </c>
      <c r="K59">
        <v>2</v>
      </c>
      <c r="L59">
        <v>40.6</v>
      </c>
      <c r="M59">
        <v>27.8</v>
      </c>
    </row>
    <row r="60" spans="1:13" x14ac:dyDescent="0.25">
      <c r="I60" s="1" t="s">
        <v>34</v>
      </c>
      <c r="J60">
        <v>22.8</v>
      </c>
      <c r="K60">
        <v>11.8</v>
      </c>
      <c r="L60">
        <v>164.4</v>
      </c>
      <c r="M60">
        <v>40.799999999999997</v>
      </c>
    </row>
    <row r="61" spans="1:13" x14ac:dyDescent="0.25">
      <c r="I61" s="1" t="s">
        <v>35</v>
      </c>
      <c r="J61">
        <v>33.799999999999997</v>
      </c>
      <c r="K61">
        <v>16</v>
      </c>
      <c r="L61">
        <v>329.2</v>
      </c>
      <c r="M61">
        <v>119</v>
      </c>
    </row>
    <row r="62" spans="1:13" x14ac:dyDescent="0.25">
      <c r="I62" s="1" t="s">
        <v>36</v>
      </c>
      <c r="J62">
        <v>47.6</v>
      </c>
      <c r="K62">
        <v>78.8</v>
      </c>
      <c r="L62">
        <v>333.4</v>
      </c>
      <c r="M62">
        <v>248</v>
      </c>
    </row>
  </sheetData>
  <mergeCells count="9">
    <mergeCell ref="A49:G49"/>
    <mergeCell ref="A27:G27"/>
    <mergeCell ref="A38:G38"/>
    <mergeCell ref="A39:G39"/>
    <mergeCell ref="A2:G2"/>
    <mergeCell ref="A3:G3"/>
    <mergeCell ref="A12:G12"/>
    <mergeCell ref="A13:G13"/>
    <mergeCell ref="A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2024-08-01T13:53:43Z</dcterms:created>
  <dcterms:modified xsi:type="dcterms:W3CDTF">2025-04-03T16:25:12Z</dcterms:modified>
</cp:coreProperties>
</file>
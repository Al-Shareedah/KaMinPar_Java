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KaMinPar_Java\Experiments data\K Size\"/>
    </mc:Choice>
  </mc:AlternateContent>
  <xr:revisionPtr revIDLastSave="0" documentId="13_ncr:1_{FF155CEA-666B-4F01-95C6-FE3C5B71F9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ge Cuts" sheetId="1" r:id="rId1"/>
    <sheet name="Runtimes" sheetId="3" r:id="rId2"/>
    <sheet name="CCM" sheetId="5" r:id="rId3"/>
    <sheet name="Contiguity" sheetId="6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1" l="1"/>
  <c r="I69" i="1"/>
  <c r="H68" i="1"/>
  <c r="H69" i="1"/>
  <c r="G67" i="1"/>
  <c r="G68" i="1"/>
  <c r="G69" i="1"/>
  <c r="G66" i="1"/>
  <c r="F67" i="1"/>
  <c r="F68" i="1"/>
  <c r="F69" i="1"/>
  <c r="F66" i="1"/>
  <c r="I54" i="6"/>
  <c r="I53" i="6"/>
  <c r="I52" i="6"/>
  <c r="I51" i="6"/>
  <c r="H54" i="6"/>
  <c r="H53" i="6"/>
  <c r="H52" i="6"/>
  <c r="H51" i="6"/>
  <c r="F97" i="5"/>
  <c r="F100" i="5"/>
  <c r="F99" i="5"/>
  <c r="F98" i="5"/>
  <c r="E92" i="5"/>
  <c r="E91" i="5"/>
  <c r="E90" i="5"/>
  <c r="E89" i="5"/>
  <c r="B89" i="5"/>
  <c r="I58" i="3"/>
  <c r="I57" i="3"/>
  <c r="I56" i="3"/>
  <c r="I55" i="3"/>
  <c r="H58" i="3"/>
  <c r="H56" i="3"/>
  <c r="H57" i="3"/>
  <c r="H55" i="3"/>
  <c r="I58" i="1"/>
  <c r="I57" i="1"/>
  <c r="I56" i="1"/>
  <c r="I67" i="1" s="1"/>
  <c r="I55" i="1"/>
  <c r="I66" i="1" s="1"/>
  <c r="H58" i="1"/>
  <c r="H57" i="1"/>
  <c r="H56" i="1"/>
  <c r="H67" i="1" s="1"/>
  <c r="H55" i="1"/>
  <c r="H66" i="1" s="1"/>
  <c r="G53" i="6"/>
  <c r="G52" i="6"/>
  <c r="F51" i="6"/>
  <c r="E51" i="6"/>
  <c r="E53" i="6"/>
  <c r="E52" i="6"/>
  <c r="E54" i="6"/>
  <c r="D52" i="6"/>
  <c r="B53" i="6"/>
  <c r="B52" i="6"/>
  <c r="B51" i="6"/>
  <c r="G54" i="6"/>
  <c r="F54" i="6"/>
  <c r="D54" i="6"/>
  <c r="C54" i="6"/>
  <c r="B54" i="6"/>
  <c r="F53" i="6"/>
  <c r="D53" i="6"/>
  <c r="C53" i="6"/>
  <c r="F52" i="6"/>
  <c r="C52" i="6"/>
  <c r="G51" i="6"/>
  <c r="D51" i="6"/>
  <c r="C51" i="6"/>
  <c r="D98" i="5"/>
  <c r="B98" i="5"/>
  <c r="B97" i="5"/>
  <c r="D100" i="5"/>
  <c r="C100" i="5"/>
  <c r="B100" i="5"/>
  <c r="D99" i="5"/>
  <c r="C99" i="5"/>
  <c r="B99" i="5"/>
  <c r="C98" i="5"/>
  <c r="C97" i="5"/>
  <c r="C90" i="5"/>
  <c r="C89" i="5"/>
  <c r="C92" i="5"/>
  <c r="B92" i="5"/>
  <c r="C91" i="5"/>
  <c r="B91" i="5"/>
  <c r="B90" i="5"/>
  <c r="D58" i="3"/>
  <c r="D57" i="3"/>
  <c r="D56" i="3"/>
  <c r="D55" i="3"/>
  <c r="C58" i="3"/>
  <c r="C57" i="3"/>
  <c r="C56" i="3"/>
  <c r="C55" i="3"/>
  <c r="B58" i="3"/>
  <c r="B57" i="3"/>
  <c r="B56" i="3"/>
  <c r="B55" i="3"/>
  <c r="G58" i="3"/>
  <c r="F58" i="3"/>
  <c r="E58" i="3"/>
  <c r="G57" i="3"/>
  <c r="F57" i="3"/>
  <c r="E57" i="3"/>
  <c r="G56" i="3"/>
  <c r="F56" i="3"/>
  <c r="E56" i="3"/>
  <c r="G55" i="3"/>
  <c r="F55" i="3"/>
  <c r="E55" i="3"/>
  <c r="G56" i="1"/>
  <c r="G55" i="1"/>
  <c r="G58" i="1"/>
  <c r="G57" i="1"/>
  <c r="F58" i="1"/>
  <c r="F57" i="1"/>
  <c r="F56" i="1"/>
  <c r="F55" i="1"/>
  <c r="E58" i="1"/>
  <c r="E57" i="1"/>
  <c r="E56" i="1"/>
  <c r="E55" i="1"/>
  <c r="D58" i="1"/>
  <c r="D57" i="1"/>
  <c r="D56" i="1"/>
  <c r="D55" i="1"/>
  <c r="C58" i="1"/>
  <c r="C57" i="1"/>
  <c r="C56" i="1"/>
  <c r="C55" i="1"/>
  <c r="B58" i="1"/>
  <c r="B57" i="1"/>
  <c r="B56" i="1"/>
  <c r="B55" i="1"/>
</calcChain>
</file>

<file path=xl/sharedStrings.xml><?xml version="1.0" encoding="utf-8"?>
<sst xmlns="http://schemas.openxmlformats.org/spreadsheetml/2006/main" count="363" uniqueCount="34">
  <si>
    <t>KaMinPar</t>
  </si>
  <si>
    <t>Result 1</t>
  </si>
  <si>
    <t>Result 2</t>
  </si>
  <si>
    <t>Result 3</t>
  </si>
  <si>
    <t>Result 4</t>
  </si>
  <si>
    <t>Result 5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</si>
  <si>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</si>
  <si>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</si>
  <si>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</si>
  <si>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</si>
  <si>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KaHIP</t>
  </si>
  <si>
    <t>Edge Cut</t>
  </si>
  <si>
    <t>Percentage of partitions not meeting desired size</t>
  </si>
  <si>
    <t>Average percentage by which partitions missed the desired size</t>
  </si>
  <si>
    <t>CCM</t>
  </si>
  <si>
    <t>Run Time (S)</t>
  </si>
  <si>
    <t>Number of Connected Components</t>
  </si>
  <si>
    <t>K = 2, Graph = 4elt, Contraction = 70%, Cardinality Sizes = [6785, 8821] at f = 0.3, CL= 2341</t>
  </si>
  <si>
    <t>K = 4, Graph = 4elt, Contraction = 70%, Cardinality Sizes = [2522, 3279, 4263, 5542] at f = 0.3, CL= 2341</t>
  </si>
  <si>
    <t>K =4, Graph = 4elt, Contraction = 70%, Cardinality Sizes = [2522, 3279, 4263, 5542] at f = 0.3, CL= 2341</t>
  </si>
  <si>
    <t>K = 8, Graph = 4elt, Contraction = 70%, Cardinality Sizes = [ 654, 850, 1105, 1437, 1868, 2429, 3157, 4106] at f = 0.3, CL= 1602</t>
  </si>
  <si>
    <t>K =16, Graph = 4elt, Contraction = 70%, Cardinality Sizes = [71, 93, 121, 157, 204, 265, 345, 448, 583, 758, 985, 1280, 1664, 2164, 2813, 3655] at f = 0.3</t>
  </si>
  <si>
    <t>Average</t>
  </si>
  <si>
    <t>Average Results</t>
  </si>
  <si>
    <t>Deep Multilevel, ε= 0.0</t>
  </si>
  <si>
    <t>Deep Multilevel, ε = 0.05</t>
  </si>
  <si>
    <t>K = 8, Graph = 4elt, Contraction = 70%, Cardinality Sizes = [ 654, 850, 1105, 1437, 1868, 2429, 3157, 4106] at f = 0.3, CL= 2341</t>
  </si>
  <si>
    <t>Deep Multilevel, ε = 5</t>
  </si>
  <si>
    <t>Deep Multilevel, ε= 0</t>
  </si>
  <si>
    <t>(B2−C2)/B2</t>
  </si>
  <si>
    <t>Set the error threshold at 5% of the total graph size</t>
  </si>
  <si>
    <t>Set the error threshold at 10% of the total graph size</t>
  </si>
  <si>
    <t>Deep Multilevel, ε = 780</t>
  </si>
  <si>
    <t>Deep Multilevel, ε = 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</si>
</sst>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9" fontId="0" fillId="0" borderId="0" xfId="0" applyNumberFormat="1"/>
    <xf numFmtId="10" fontId="0" fillId="0" borderId="0" xfId="0" applyNumberForma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9" fontId="0" fillId="0" borderId="0" xfId="1" applyFont="1"/>
    <xf numFmtId="49" fontId="0" fillId="0" borderId="0" xfId="0" applyNumberFormat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 as K varies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Cuts'!$F$55:$F$58</c:f>
              <c:numCache>
                <c:formatCode>General</c:formatCode>
                <c:ptCount val="4"/>
                <c:pt idx="0">
                  <c:v>167.4</c:v>
                </c:pt>
                <c:pt idx="1">
                  <c:v>397</c:v>
                </c:pt>
                <c:pt idx="2">
                  <c:v>648.6</c:v>
                </c:pt>
                <c:pt idx="3">
                  <c:v>1161.5999999999999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FDF-4E2E-8508-8D64526FBBFA}"/>
            </c:ext>
          </c:extLst>
        </c:ser>
        <c:ser>
          <c:idx val="5"/>
          <c:order val="5"/>
          <c:tx>
            <c:strRef>
              <c:f>'Edge Cuts'!$G$54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Cuts'!$G$55:$G$58</c:f>
              <c:numCache>
                <c:formatCode>General</c:formatCode>
                <c:ptCount val="4"/>
                <c:pt idx="0">
                  <c:v>138.4</c:v>
                </c:pt>
                <c:pt idx="1">
                  <c:v>345.2</c:v>
                </c:pt>
                <c:pt idx="2">
                  <c:v>604.6</c:v>
                </c:pt>
                <c:pt idx="3">
                  <c:v>1049.2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FDF-4E2E-8508-8D64526FBBFA}"/>
            </c:ext>
          </c:extLst>
        </c:ser>
        <c:ser>
          <c:idx val="6"/>
          <c:order val="6"/>
          <c:tx>
            <c:strRef>
              <c:f>'Edge Cuts'!$H$54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Cuts'!$H$55:$H$58</c:f>
              <c:numCache>
                <c:formatCode>General</c:formatCode>
                <c:ptCount val="4"/>
                <c:pt idx="0">
                  <c:v>182.6</c:v>
                </c:pt>
                <c:pt idx="1">
                  <c:v>498.2</c:v>
                </c:pt>
                <c:pt idx="2">
                  <c:v>6317.6</c:v>
                </c:pt>
                <c:pt idx="3">
                  <c:v>9273.6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F1-4253-A49B-E243EF7D8996}"/>
            </c:ext>
          </c:extLst>
        </c:ser>
        <c:ser>
          <c:idx val="7"/>
          <c:order val="7"/>
          <c:tx>
            <c:strRef>
              <c:f>'Edge Cuts'!$I$54</c:f>
              <c:strCache>
                <c:ptCount val="1"/>
                <c:pt idx="0">
                  <c:v>Deep Multilevel, ε = 780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Cuts'!$I$55:$I$58</c:f>
              <c:numCache>
                <c:formatCode>General</c:formatCode>
                <c:ptCount val="4"/>
                <c:pt idx="0">
                  <c:v>161</c:v>
                </c:pt>
                <c:pt idx="1">
                  <c:v>388.6</c:v>
                </c:pt>
                <c:pt idx="2">
                  <c:v>3524.8</c:v>
                </c:pt>
                <c:pt idx="3">
                  <c:v>5641.2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F1-4253-A49B-E243EF7D8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973520"/>
        <c:axId val="40897160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Cuts'!$B$54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Cuts'!$B$55:$B$58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752.8</c:v>
                      </c:pt>
                      <c:pt idx="1">
                        <c:v>2553.1999999999998</c:v>
                      </c:pt>
                      <c:pt idx="2">
                        <c:v>4934.8</c:v>
                      </c:pt>
                      <c:pt idx="3">
                        <c:v>8744.2000000000007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0FDF-4E2E-8508-8D64526FBBF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Cuts'!$C$55:$C$58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923.8</c:v>
                      </c:pt>
                      <c:pt idx="1">
                        <c:v>1515.2</c:v>
                      </c:pt>
                      <c:pt idx="2">
                        <c:v>2200.1999999999998</c:v>
                      </c:pt>
                      <c:pt idx="3">
                        <c:v>3190.8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FDF-4E2E-8508-8D64526FBBF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Cuts'!$D$55:$D$58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2134.1999999999998</c:v>
                      </c:pt>
                      <c:pt idx="1">
                        <c:v>2828.6</c:v>
                      </c:pt>
                      <c:pt idx="2">
                        <c:v>3684.4</c:v>
                      </c:pt>
                      <c:pt idx="3">
                        <c:v>4301.3999999999996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FDF-4E2E-8508-8D64526FBBFA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Cuts'!$E$55:$E$58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2128.8000000000002</c:v>
                      </c:pt>
                      <c:pt idx="1">
                        <c:v>2738.4</c:v>
                      </c:pt>
                      <c:pt idx="2">
                        <c:v>3632.2</c:v>
                      </c:pt>
                      <c:pt idx="3">
                        <c:v>4139.6000000000004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FDF-4E2E-8508-8D64526FBBFA}"/>
                  </c:ext>
                </c:extLst>
              </c15:ser>
            </c15:filteredScatterSeries>
          </c:ext>
        </c:extLst>
      </c:scatterChart>
      <c:valAx>
        <c:axId val="4089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971600"/>
        <c:crosses val="autoZero"/>
        <c:crossBetween val="midCat"/>
      </c:valAx>
      <c:valAx>
        <c:axId val="40897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97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Edge Cut as K varies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Cuts'!$F$65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'Edge Cuts'!$E$66:$E$69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Cuts'!$F$66:$F$69</c:f>
              <c:numCache>
                <c:formatCode>0%</c:formatCode>
                <c:ptCount val="4"/>
                <c:pt idx="0">
                  <c:v>-0.20953757225433525</c:v>
                </c:pt>
                <c:pt idx="1">
                  <c:v>-0.15005793742757825</c:v>
                </c:pt>
                <c:pt idx="2">
                  <c:v>-7.2775388686735026E-2</c:v>
                </c:pt>
                <c:pt idx="3">
                  <c:v>-0.10712924132672499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33-400C-B290-177C7CB2505D}"/>
            </c:ext>
          </c:extLst>
        </c:ser>
        <c:ser>
          <c:idx val="1"/>
          <c:order val="1"/>
          <c:tx>
            <c:strRef>
              <c:f>'Edge Cuts'!$G$65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'Edge Cuts'!$E$66:$E$69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Cuts'!$G$66:$G$69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33-400C-B290-177C7CB2505D}"/>
            </c:ext>
          </c:extLst>
        </c:ser>
        <c:ser>
          <c:idx val="2"/>
          <c:order val="2"/>
          <c:tx>
            <c:strRef>
              <c:f>'Edge Cuts'!$H$65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'Edge Cuts'!$E$66:$E$69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Cuts'!$H$66:$H$69</c:f>
              <c:numCache>
                <c:formatCode>0%</c:formatCode>
                <c:ptCount val="4"/>
                <c:pt idx="0">
                  <c:v>-0.31936416184971089</c:v>
                </c:pt>
                <c:pt idx="1">
                  <c:v>-0.44322132097334882</c:v>
                </c:pt>
                <c:pt idx="2">
                  <c:v>-9.4492226265299362</c:v>
                </c:pt>
                <c:pt idx="3">
                  <c:v>-7.8387342737323671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33-400C-B290-177C7CB2505D}"/>
            </c:ext>
          </c:extLst>
        </c:ser>
        <c:ser>
          <c:idx val="3"/>
          <c:order val="3"/>
          <c:tx>
            <c:strRef>
              <c:f>'Edge Cuts'!$I$65</c:f>
              <c:strCache>
                <c:ptCount val="1"/>
                <c:pt idx="0">
                  <c:v>Deep Multilevel, ε = 780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'Edge Cuts'!$E$66:$E$69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'Edge Cuts'!$I$66:$I$69</c:f>
              <c:numCache>
                <c:formatCode>0%</c:formatCode>
                <c:ptCount val="4"/>
                <c:pt idx="0">
                  <c:v>-0.16329479768786123</c:v>
                </c:pt>
                <c:pt idx="1">
                  <c:v>-0.12572421784472779</c:v>
                </c:pt>
                <c:pt idx="2">
                  <c:v>-4.8299702282500832</c:v>
                </c:pt>
                <c:pt idx="3">
                  <c:v>-4.3766679374761726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33-400C-B290-177C7CB25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685887"/>
        <c:axId val="1655686367"/>
      </c:scatterChart>
      <c:valAx>
        <c:axId val="165568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86367"/>
        <c:crosses val="autoZero"/>
        <c:crossBetween val="midCat"/>
      </c:valAx>
      <c:valAx>
        <c:axId val="165568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% of Improvment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8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Average Connected Component</a:t>
            </a:r>
            <a:endParaRPr lang="en-US" sz="2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[1]Contiguity!$F$50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[1]Contiguity!$A$51:$A$54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[1]Contiguity!$F$51:$F$54</c:f>
              <c:numCache>
                <c:formatCode>General</c:formatCode>
                <c:ptCount val="4"/>
                <c:pt idx="0">
                  <c:v>12.6</c:v>
                </c:pt>
                <c:pt idx="1">
                  <c:v>22.8</c:v>
                </c:pt>
                <c:pt idx="2">
                  <c:v>33.799999999999997</c:v>
                </c:pt>
                <c:pt idx="3">
                  <c:v>47.6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17-4436-89A5-E71F36A7BD2E}"/>
            </c:ext>
          </c:extLst>
        </c:ser>
        <c:ser>
          <c:idx val="5"/>
          <c:order val="5"/>
          <c:tx>
            <c:strRef>
              <c:f>[1]Contiguity!$G$50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[1]Contiguity!$A$51:$A$54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[1]Contiguity!$G$51:$G$54</c:f>
              <c:numCache>
                <c:formatCode>General</c:formatCode>
                <c:ptCount val="4"/>
                <c:pt idx="0">
                  <c:v>2</c:v>
                </c:pt>
                <c:pt idx="1">
                  <c:v>11.8</c:v>
                </c:pt>
                <c:pt idx="2">
                  <c:v>16</c:v>
                </c:pt>
                <c:pt idx="3">
                  <c:v>78.8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17-4436-89A5-E71F36A7BD2E}"/>
            </c:ext>
          </c:extLst>
        </c:ser>
        <c:ser>
          <c:idx val="6"/>
          <c:order val="6"/>
          <c:tx>
            <c:strRef>
              <c:f>[1]Contiguity!$H$50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[1]Contiguity!$A$51:$A$54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[1]Contiguity!$H$51:$H$54</c:f>
              <c:numCache>
                <c:formatCode>General</c:formatCode>
                <c:ptCount val="4"/>
                <c:pt idx="0">
                  <c:v>40.6</c:v>
                </c:pt>
                <c:pt idx="1">
                  <c:v>164.4</c:v>
                </c:pt>
                <c:pt idx="2">
                  <c:v>329.2</c:v>
                </c:pt>
                <c:pt idx="3">
                  <c:v>333.4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17-4436-89A5-E71F36A7BD2E}"/>
            </c:ext>
          </c:extLst>
        </c:ser>
        <c:ser>
          <c:idx val="7"/>
          <c:order val="7"/>
          <c:tx>
            <c:strRef>
              <c:f>[1]Contiguity!$I$50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strRef>
              <c:f>[1]Contiguity!$A$51:$A$54</c:f>
              <c:strCache>
                <c:ptCount val="4"/>
                <c:pt idx="0">
                  <c:v>K= 2</c:v>
                </c:pt>
                <c:pt idx="1">
                  <c:v>K= 4</c:v>
                </c:pt>
                <c:pt idx="2">
                  <c:v>K= 8</c:v>
                </c:pt>
                <c:pt idx="3">
                  <c:v>K= 16</c:v>
                </c:pt>
              </c:strCache>
            </c:strRef>
          </c:xVal>
          <c:yVal>
            <c:numRef>
              <c:f>[1]Contiguity!$I$51:$I$54</c:f>
              <c:numCache>
                <c:formatCode>General</c:formatCode>
                <c:ptCount val="4"/>
                <c:pt idx="0">
                  <c:v>27.8</c:v>
                </c:pt>
                <c:pt idx="1">
                  <c:v>40.799999999999997</c:v>
                </c:pt>
                <c:pt idx="2">
                  <c:v>119</c:v>
                </c:pt>
                <c:pt idx="3">
                  <c:v>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17-4436-89A5-E71F36A7B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190447"/>
        <c:axId val="78219092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[1]Contiguity!$B$50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[1]Contiguity!$A$51:$A$54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[1]Contiguity!$B$51:$B$54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49</c:v>
                      </c:pt>
                      <c:pt idx="2">
                        <c:v>42.2</c:v>
                      </c:pt>
                      <c:pt idx="3">
                        <c:v>140.19999999999999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8317-4436-89A5-E71F36A7BD2E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[1]Contiguity!$C$50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[1]Contiguity!$C$51:$C$54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1.2</c:v>
                      </c:pt>
                      <c:pt idx="1">
                        <c:v>44.6</c:v>
                      </c:pt>
                      <c:pt idx="2">
                        <c:v>36.6</c:v>
                      </c:pt>
                      <c:pt idx="3">
                        <c:v>141.4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317-4436-89A5-E71F36A7BD2E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[1]Contiguity!$D$50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[1]Contiguity!$D$51:$D$54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56.8</c:v>
                      </c:pt>
                      <c:pt idx="1">
                        <c:v>87.2</c:v>
                      </c:pt>
                      <c:pt idx="2">
                        <c:v>56.6</c:v>
                      </c:pt>
                      <c:pt idx="3">
                        <c:v>45.6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317-4436-89A5-E71F36A7BD2E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[1]Contiguity!$E$50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[1]Contiguity!$A$51:$A$54</c15:sqref>
                        </c15:formulaRef>
                      </c:ext>
                    </c:extLst>
                    <c:strCache>
                      <c:ptCount val="4"/>
                      <c:pt idx="0">
                        <c:v>K= 2</c:v>
                      </c:pt>
                      <c:pt idx="1">
                        <c:v>K= 4</c:v>
                      </c:pt>
                      <c:pt idx="2">
                        <c:v>K= 8</c:v>
                      </c:pt>
                      <c:pt idx="3">
                        <c:v>K= 16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[1]Contiguity!$E$51:$E$54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50.6</c:v>
                      </c:pt>
                      <c:pt idx="1">
                        <c:v>46.2</c:v>
                      </c:pt>
                      <c:pt idx="2">
                        <c:v>46.2</c:v>
                      </c:pt>
                      <c:pt idx="3">
                        <c:v>47.2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317-4436-89A5-E71F36A7BD2E}"/>
                  </c:ext>
                </c:extLst>
              </c15:ser>
            </c15:filteredScatterSeries>
          </c:ext>
        </c:extLst>
      </c:scatterChart>
      <c:valAx>
        <c:axId val="78219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90927"/>
        <c:crosses val="autoZero"/>
        <c:crossBetween val="midCat"/>
      </c:valAx>
      <c:valAx>
        <c:axId val="78219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9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Runtime as K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Runtimes!$F$54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Runtimes!$F$55:$F$58</c:f>
              <c:numCache>
                <c:formatCode>General</c:formatCode>
                <c:ptCount val="4"/>
                <c:pt idx="0">
                  <c:v>1.4762</c:v>
                </c:pt>
                <c:pt idx="1">
                  <c:v>2.0864000000000003</c:v>
                </c:pt>
                <c:pt idx="2">
                  <c:v>2.1432000000000002</c:v>
                </c:pt>
                <c:pt idx="3">
                  <c:v>2.9089999999999998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B5-43C6-B507-F52DE90CDA41}"/>
            </c:ext>
          </c:extLst>
        </c:ser>
        <c:ser>
          <c:idx val="5"/>
          <c:order val="5"/>
          <c:tx>
            <c:strRef>
              <c:f>Runtimes!$G$54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Runtimes!$G$55:$G$58</c:f>
              <c:numCache>
                <c:formatCode>General</c:formatCode>
                <c:ptCount val="4"/>
                <c:pt idx="0">
                  <c:v>0.98839999999999983</c:v>
                </c:pt>
                <c:pt idx="1">
                  <c:v>1.0564</c:v>
                </c:pt>
                <c:pt idx="2">
                  <c:v>1.2193999999999998</c:v>
                </c:pt>
                <c:pt idx="3">
                  <c:v>1.6084000000000001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B5-43C6-B507-F52DE90CDA41}"/>
            </c:ext>
          </c:extLst>
        </c:ser>
        <c:ser>
          <c:idx val="6"/>
          <c:order val="6"/>
          <c:tx>
            <c:strRef>
              <c:f>Runtimes!$H$54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Runtimes!$H$55:$H$58</c:f>
              <c:numCache>
                <c:formatCode>General</c:formatCode>
                <c:ptCount val="4"/>
                <c:pt idx="0">
                  <c:v>2.508</c:v>
                </c:pt>
                <c:pt idx="1">
                  <c:v>3.0064000000000002</c:v>
                </c:pt>
                <c:pt idx="2">
                  <c:v>0</c:v>
                </c:pt>
                <c:pt idx="3">
                  <c:v>5.2645999999999997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8F-48F1-A4AF-D4F37B42D24B}"/>
            </c:ext>
          </c:extLst>
        </c:ser>
        <c:ser>
          <c:idx val="7"/>
          <c:order val="7"/>
          <c:tx>
            <c:strRef>
              <c:f>Runtimes!$I$54</c:f>
              <c:strCache>
                <c:ptCount val="1"/>
                <c:pt idx="0">
                  <c:v>Deep Multilevel, ε = 0.05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Runtimes!$A$55:$A$58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Runtimes!$I$55:$I$58</c:f>
              <c:numCache>
                <c:formatCode>General</c:formatCode>
                <c:ptCount val="4"/>
                <c:pt idx="0">
                  <c:v>2.3768000000000002</c:v>
                </c:pt>
                <c:pt idx="1">
                  <c:v>3.2231999999999998</c:v>
                </c:pt>
                <c:pt idx="2">
                  <c:v>0</c:v>
                </c:pt>
                <c:pt idx="3">
                  <c:v>3.5635999999999997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8F-48F1-A4AF-D4F37B42D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533664"/>
        <c:axId val="25752838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Runtimes!$B$54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Runtimes!$B$55:$B$58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8.1584000000000003</c:v>
                      </c:pt>
                      <c:pt idx="1">
                        <c:v>41.362200000000001</c:v>
                      </c:pt>
                      <c:pt idx="2">
                        <c:v>57.467799999999997</c:v>
                      </c:pt>
                      <c:pt idx="3">
                        <c:v>56.690800000000003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763-4DD4-B24C-1F4134F83B0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Runtimes!$C$55:$C$58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8.2326000000000015</c:v>
                      </c:pt>
                      <c:pt idx="1">
                        <c:v>39.098399999999998</c:v>
                      </c:pt>
                      <c:pt idx="2">
                        <c:v>52.676400000000001</c:v>
                      </c:pt>
                      <c:pt idx="3">
                        <c:v>55.56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763-4DD4-B24C-1F4134F83B0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Runtimes!$D$55:$D$58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4.2061999999999999</c:v>
                      </c:pt>
                      <c:pt idx="1">
                        <c:v>3.0251999999999999</c:v>
                      </c:pt>
                      <c:pt idx="2">
                        <c:v>3.7552000000000008</c:v>
                      </c:pt>
                      <c:pt idx="3">
                        <c:v>4.0629999999999997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63-4DD4-B24C-1F4134F83B0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Runtimes!$E$54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Runtimes!$A$55:$A$58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Runtimes!$E$55:$E$58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0.88080000000000003</c:v>
                      </c:pt>
                      <c:pt idx="1">
                        <c:v>1.2345999999999999</c:v>
                      </c:pt>
                      <c:pt idx="2">
                        <c:v>1.1858</c:v>
                      </c:pt>
                      <c:pt idx="3">
                        <c:v>1.3602000000000001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63-4DD4-B24C-1F4134F83B0F}"/>
                  </c:ext>
                </c:extLst>
              </c15:ser>
            </c15:filteredScatterSeries>
          </c:ext>
        </c:extLst>
      </c:scatterChart>
      <c:valAx>
        <c:axId val="25753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K Partitions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28384"/>
        <c:crosses val="autoZero"/>
        <c:crossBetween val="midCat"/>
      </c:valAx>
      <c:valAx>
        <c:axId val="25752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33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Mean Deviation Percentage from Desired Partition Size </a:t>
            </a:r>
            <a:endParaRPr lang="en-US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CCM!$B$96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CCM!$B$97:$B$100</c:f>
              <c:numCache>
                <c:formatCode>0.00%</c:formatCode>
                <c:ptCount val="4"/>
                <c:pt idx="0">
                  <c:v>0.13449800000000001</c:v>
                </c:pt>
                <c:pt idx="1">
                  <c:v>0.27923600000000004</c:v>
                </c:pt>
                <c:pt idx="2">
                  <c:v>0.6985380000000001</c:v>
                </c:pt>
                <c:pt idx="3">
                  <c:v>2.999072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DD-44A6-9890-B4FDF568AC2B}"/>
            </c:ext>
          </c:extLst>
        </c:ser>
        <c:ser>
          <c:idx val="1"/>
          <c:order val="1"/>
          <c:tx>
            <c:strRef>
              <c:f>CCM!$C$96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CCM!$C$97:$C$100</c:f>
              <c:numCache>
                <c:formatCode>0.00%</c:formatCode>
                <c:ptCount val="4"/>
                <c:pt idx="0">
                  <c:v>0.14445</c:v>
                </c:pt>
                <c:pt idx="1">
                  <c:v>0.284551</c:v>
                </c:pt>
                <c:pt idx="2">
                  <c:v>0.70256799999999997</c:v>
                </c:pt>
                <c:pt idx="3">
                  <c:v>2.973938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DD-44A6-9890-B4FDF568AC2B}"/>
            </c:ext>
          </c:extLst>
        </c:ser>
        <c:ser>
          <c:idx val="3"/>
          <c:order val="3"/>
          <c:tx>
            <c:strRef>
              <c:f>CCM!$E$96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CCM!$E$97:$E$100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11-4040-9797-8CD9E2BDD7A7}"/>
            </c:ext>
          </c:extLst>
        </c:ser>
        <c:ser>
          <c:idx val="4"/>
          <c:order val="4"/>
          <c:tx>
            <c:strRef>
              <c:f>CCM!$F$96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CCM!$A$97:$A$100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CCM!$F$97:$F$100</c:f>
              <c:numCache>
                <c:formatCode>0.00%</c:formatCode>
                <c:ptCount val="4"/>
                <c:pt idx="0">
                  <c:v>8.1140000000000004E-2</c:v>
                </c:pt>
                <c:pt idx="1">
                  <c:v>8.8782E-2</c:v>
                </c:pt>
                <c:pt idx="2">
                  <c:v>2.9528200000000004E-2</c:v>
                </c:pt>
                <c:pt idx="3">
                  <c:v>3.7041400000000002E-2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11-4040-9797-8CD9E2BDD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275088"/>
        <c:axId val="26227556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CCM!$D$96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CCM!$A$97:$A$100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CCM!$D$97:$D$100</c15:sqref>
                        </c15:formulaRef>
                      </c:ext>
                    </c:extLst>
                    <c:numCache>
                      <c:formatCode>0.00%</c:formatCode>
                      <c:ptCount val="4"/>
                      <c:pt idx="0">
                        <c:v>0</c:v>
                      </c:pt>
                      <c:pt idx="1">
                        <c:v>4.6644000000000005E-2</c:v>
                      </c:pt>
                      <c:pt idx="2">
                        <c:v>6.8136599999999992E-2</c:v>
                      </c:pt>
                      <c:pt idx="3">
                        <c:v>0.45228199999999996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4DD-44A6-9890-B4FDF568AC2B}"/>
                  </c:ext>
                </c:extLst>
              </c15:ser>
            </c15:filteredScatterSeries>
          </c:ext>
        </c:extLst>
      </c:scatterChart>
      <c:valAx>
        <c:axId val="26227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</a:t>
                </a:r>
                <a:r>
                  <a:rPr lang="en-US" sz="1800" b="0" i="1" baseline="0">
                    <a:effectLst/>
                  </a:rPr>
                  <a:t>K</a:t>
                </a:r>
                <a:r>
                  <a:rPr lang="en-US" sz="1800" b="0" i="0" baseline="0">
                    <a:effectLst/>
                  </a:rPr>
                  <a:t> Partitions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75568"/>
        <c:crosses val="autoZero"/>
        <c:crossBetween val="midCat"/>
      </c:valAx>
      <c:valAx>
        <c:axId val="2622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27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CCM as K increases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CCM!$B$88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CCM!$B$89:$B$92</c:f>
              <c:numCache>
                <c:formatCode>0%</c:formatCode>
                <c:ptCount val="4"/>
                <c:pt idx="0">
                  <c:v>0.14179999999999998</c:v>
                </c:pt>
                <c:pt idx="1">
                  <c:v>0.25760000000000005</c:v>
                </c:pt>
                <c:pt idx="2">
                  <c:v>0.49719999999999998</c:v>
                </c:pt>
                <c:pt idx="3">
                  <c:v>0.85939999999999994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87-43B6-9190-76EDEA047B4D}"/>
            </c:ext>
          </c:extLst>
        </c:ser>
        <c:ser>
          <c:idx val="1"/>
          <c:order val="1"/>
          <c:tx>
            <c:strRef>
              <c:f>CCM!$C$88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CCM!$C$89:$C$92</c:f>
              <c:numCache>
                <c:formatCode>0%</c:formatCode>
                <c:ptCount val="4"/>
                <c:pt idx="0">
                  <c:v>0.1288</c:v>
                </c:pt>
                <c:pt idx="1">
                  <c:v>0.25599999999999995</c:v>
                </c:pt>
                <c:pt idx="2">
                  <c:v>0.49539999999999995</c:v>
                </c:pt>
                <c:pt idx="3">
                  <c:v>0.86612000000000011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87-43B6-9190-76EDEA047B4D}"/>
            </c:ext>
          </c:extLst>
        </c:ser>
        <c:ser>
          <c:idx val="2"/>
          <c:order val="2"/>
          <c:tx>
            <c:strRef>
              <c:f>CCM!$D$88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CCM!$D$89:$D$92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87-43B6-9190-76EDEA047B4D}"/>
            </c:ext>
          </c:extLst>
        </c:ser>
        <c:ser>
          <c:idx val="3"/>
          <c:order val="3"/>
          <c:tx>
            <c:strRef>
              <c:f>CCM!$E$88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CCM!$A$89:$A$92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CCM!$E$89:$E$92</c:f>
              <c:numCache>
                <c:formatCode>0%</c:formatCode>
                <c:ptCount val="4"/>
                <c:pt idx="0">
                  <c:v>7.9752000000000003E-2</c:v>
                </c:pt>
                <c:pt idx="1">
                  <c:v>7.8972000000000001E-2</c:v>
                </c:pt>
                <c:pt idx="2">
                  <c:v>3.4559999999999994E-2</c:v>
                </c:pt>
                <c:pt idx="3">
                  <c:v>9.0662000000000006E-2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CA-4E0D-81CE-42BFB16A6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538960"/>
        <c:axId val="482546640"/>
      </c:scatterChart>
      <c:valAx>
        <c:axId val="4825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</a:t>
                </a:r>
                <a:r>
                  <a:rPr lang="en-US" sz="1800" b="0" i="1" baseline="0">
                    <a:effectLst/>
                  </a:rPr>
                  <a:t>K</a:t>
                </a:r>
                <a:r>
                  <a:rPr lang="en-US" sz="1800" b="0" i="0" baseline="0">
                    <a:effectLst/>
                  </a:rPr>
                  <a:t> Partitions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46640"/>
        <c:crosses val="autoZero"/>
        <c:crossBetween val="midCat"/>
      </c:valAx>
      <c:valAx>
        <c:axId val="4825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Connected Component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Contiguity!$F$51:$F$54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8.4</c:v>
                </c:pt>
                <c:pt idx="3">
                  <c:v>18.2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5A-4BA0-AA61-0738BCC04F8C}"/>
            </c:ext>
          </c:extLst>
        </c:ser>
        <c:ser>
          <c:idx val="5"/>
          <c:order val="5"/>
          <c:tx>
            <c:strRef>
              <c:f>Contiguity!$G$50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Contiguity!$G$51:$G$54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8.1999999999999993</c:v>
                </c:pt>
                <c:pt idx="3">
                  <c:v>16.8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5A-4BA0-AA61-0738BCC04F8C}"/>
            </c:ext>
          </c:extLst>
        </c:ser>
        <c:ser>
          <c:idx val="6"/>
          <c:order val="6"/>
          <c:tx>
            <c:strRef>
              <c:f>Contiguity!$H$50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Contiguity!$H$51:$H$54</c:f>
              <c:numCache>
                <c:formatCode>General</c:formatCode>
                <c:ptCount val="4"/>
                <c:pt idx="0">
                  <c:v>2</c:v>
                </c:pt>
                <c:pt idx="1">
                  <c:v>4.8</c:v>
                </c:pt>
                <c:pt idx="2">
                  <c:v>476.6</c:v>
                </c:pt>
                <c:pt idx="3">
                  <c:v>598.4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5A-4BA0-AA61-0738BCC04F8C}"/>
            </c:ext>
          </c:extLst>
        </c:ser>
        <c:ser>
          <c:idx val="7"/>
          <c:order val="7"/>
          <c:tx>
            <c:strRef>
              <c:f>Contiguity!$I$50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Contiguity!$A$51:$A$54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</c:numCache>
            </c:numRef>
          </c:xVal>
          <c:yVal>
            <c:numRef>
              <c:f>Contiguity!$I$51:$I$54</c:f>
              <c:numCache>
                <c:formatCode>General</c:formatCode>
                <c:ptCount val="4"/>
                <c:pt idx="0">
                  <c:v>2</c:v>
                </c:pt>
                <c:pt idx="1">
                  <c:v>4.2</c:v>
                </c:pt>
                <c:pt idx="2">
                  <c:v>206.6</c:v>
                </c:pt>
                <c:pt idx="3">
                  <c:v>343.4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B5A-4BA0-AA61-0738BCC0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560816"/>
        <c:axId val="10135670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Contiguity!$B$50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Contiguity!$B$51:$B$54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91</c:v>
                      </c:pt>
                      <c:pt idx="2">
                        <c:v>360.6</c:v>
                      </c:pt>
                      <c:pt idx="3">
                        <c:v>864.8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B5A-4BA0-AA61-0738BCC04F8C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Contiguity!$C$51:$C$54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1</c:v>
                      </c:pt>
                      <c:pt idx="2">
                        <c:v>11.6</c:v>
                      </c:pt>
                      <c:pt idx="3">
                        <c:v>66.2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B5A-4BA0-AA61-0738BCC04F8C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Contiguity!$D$51:$D$54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71.2</c:v>
                      </c:pt>
                      <c:pt idx="1">
                        <c:v>96.6</c:v>
                      </c:pt>
                      <c:pt idx="2">
                        <c:v>151</c:v>
                      </c:pt>
                      <c:pt idx="3">
                        <c:v>324.2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B5A-4BA0-AA61-0738BCC04F8C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Contiguity!$A$51:$A$54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Contiguity!$E$51:$E$54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78.400000000000006</c:v>
                      </c:pt>
                      <c:pt idx="1">
                        <c:v>89.4</c:v>
                      </c:pt>
                      <c:pt idx="2">
                        <c:v>134.19999999999999</c:v>
                      </c:pt>
                      <c:pt idx="3">
                        <c:v>142.4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B5A-4BA0-AA61-0738BCC04F8C}"/>
                  </c:ext>
                </c:extLst>
              </c15:ser>
            </c15:filteredScatterSeries>
          </c:ext>
        </c:extLst>
      </c:scatterChart>
      <c:valAx>
        <c:axId val="10135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</a:t>
                </a:r>
                <a:r>
                  <a:rPr lang="en-US" sz="1800" b="0" i="1" baseline="0">
                    <a:effectLst/>
                  </a:rPr>
                  <a:t>K</a:t>
                </a:r>
                <a:r>
                  <a:rPr lang="en-US" sz="1800" b="0" i="0" baseline="0">
                    <a:effectLst/>
                  </a:rPr>
                  <a:t> Partitions</a:t>
                </a:r>
                <a:endParaRPr lang="en-US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67056"/>
        <c:crosses val="autoZero"/>
        <c:crossBetween val="midCat"/>
      </c:valAx>
      <c:valAx>
        <c:axId val="101356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56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533400</xdr:colOff>
      <xdr:row>62</xdr:row>
      <xdr:rowOff>38100</xdr:rowOff>
    </xdr:from>
    <xdr:to>
      <xdr:col>25</xdr:col>
      <xdr:colOff>28576</xdr:colOff>
      <xdr:row>85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8E4804-12A8-9CA0-2FA6-6A55FCB18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352425</xdr:colOff>
      <xdr:row>67</xdr:row>
      <xdr:rowOff>119061</xdr:rowOff>
    </xdr:from>
    <xdr:to>
      <xdr:col>9</xdr:col>
      <xdr:colOff>533400</xdr:colOff>
      <xdr:row>90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52C43-92D1-7B33-4BB8-3BEC3EACC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435429</xdr:colOff>
      <xdr:row>59</xdr:row>
      <xdr:rowOff>122465</xdr:rowOff>
    </xdr:from>
    <xdr:to>
      <xdr:col>15</xdr:col>
      <xdr:colOff>559936</xdr:colOff>
      <xdr:row>82</xdr:row>
      <xdr:rowOff>136754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D42DA3-92DF-4152-9938-07E6910C1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568777</xdr:colOff>
      <xdr:row>59</xdr:row>
      <xdr:rowOff>161244</xdr:rowOff>
    </xdr:from>
    <xdr:to>
      <xdr:col>6</xdr:col>
      <xdr:colOff>1809750</xdr:colOff>
      <xdr:row>82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95DABA-4DCF-8818-2983-BE73192A99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331133</xdr:colOff>
      <xdr:row>102</xdr:row>
      <xdr:rowOff>131388</xdr:rowOff>
    </xdr:from>
    <xdr:to>
      <xdr:col>4</xdr:col>
      <xdr:colOff>997323</xdr:colOff>
      <xdr:row>125</xdr:row>
      <xdr:rowOff>145676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693117-8581-0F63-AFE5-A7FE2E2EB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2028264</xdr:colOff>
      <xdr:row>102</xdr:row>
      <xdr:rowOff>25493</xdr:rowOff>
    </xdr:from>
    <xdr:to>
      <xdr:col>11</xdr:col>
      <xdr:colOff>89647</xdr:colOff>
      <xdr:row>125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A26617-B96D-4970-9B7A-C3C239008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690562</xdr:colOff>
      <xdr:row>58</xdr:row>
      <xdr:rowOff>100011</xdr:rowOff>
    </xdr:from>
    <xdr:to>
      <xdr:col>7</xdr:col>
      <xdr:colOff>104775</xdr:colOff>
      <xdr:row>81</xdr:row>
      <xdr:rowOff>123824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31DC81-B949-4BE1-C1A3-A95009F82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engw\OneDrive\Documents\GitHub\SISR%20Script\Experiments%20data\K%20Size\K_Size_Email_Graph.xlsx" TargetMode="External"/><Relationship Id="rId1" Type="http://schemas.openxmlformats.org/officeDocument/2006/relationships/externalLinkPath" Target="K_Size_Email_Grap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ge Cuts"/>
      <sheetName val="Runtimes"/>
      <sheetName val="CCM"/>
      <sheetName val="Contiguity"/>
    </sheetNames>
    <sheetDataSet>
      <sheetData sheetId="0"/>
      <sheetData sheetId="1"/>
      <sheetData sheetId="2"/>
      <sheetData sheetId="3">
        <row r="50">
          <cell r="B50" t="str">
            <v>Proposed Model</v>
          </cell>
          <cell r="C50" t="str">
            <v xml:space="preserve">Proposed Model Without Refinement </v>
          </cell>
          <cell r="D50" t="str">
            <v>Proposed Model without (Split &amp; Merge)</v>
          </cell>
          <cell r="E50" t="str">
            <v xml:space="preserve">Proposed Model without (Split &amp; Merge) + Refinement </v>
          </cell>
          <cell r="F50" t="str">
            <v>KaMinPar</v>
          </cell>
          <cell r="G50" t="str">
            <v>KaHIP</v>
          </cell>
          <cell r="H50" t="str">
            <v>Deep Multilevel, ε= 0</v>
          </cell>
          <cell r="I50" t="str">
            <v>Deep Multilevel, ε = 5</v>
          </cell>
        </row>
        <row r="51">
          <cell r="A51" t="str">
            <v>K= 2</v>
          </cell>
          <cell r="B51">
            <v>0</v>
          </cell>
          <cell r="C51">
            <v>1.2</v>
          </cell>
          <cell r="D51">
            <v>56.8</v>
          </cell>
          <cell r="E51">
            <v>50.6</v>
          </cell>
          <cell r="F51">
            <v>12.6</v>
          </cell>
          <cell r="G51">
            <v>2</v>
          </cell>
          <cell r="H51">
            <v>40.6</v>
          </cell>
          <cell r="I51">
            <v>27.8</v>
          </cell>
        </row>
        <row r="52">
          <cell r="A52" t="str">
            <v>K= 4</v>
          </cell>
          <cell r="B52">
            <v>49</v>
          </cell>
          <cell r="C52">
            <v>44.6</v>
          </cell>
          <cell r="D52">
            <v>87.2</v>
          </cell>
          <cell r="E52">
            <v>46.2</v>
          </cell>
          <cell r="F52">
            <v>22.8</v>
          </cell>
          <cell r="G52">
            <v>11.8</v>
          </cell>
          <cell r="H52">
            <v>164.4</v>
          </cell>
          <cell r="I52">
            <v>40.799999999999997</v>
          </cell>
        </row>
        <row r="53">
          <cell r="A53" t="str">
            <v>K= 8</v>
          </cell>
          <cell r="B53">
            <v>42.2</v>
          </cell>
          <cell r="C53">
            <v>36.6</v>
          </cell>
          <cell r="D53">
            <v>56.6</v>
          </cell>
          <cell r="E53">
            <v>46.2</v>
          </cell>
          <cell r="F53">
            <v>33.799999999999997</v>
          </cell>
          <cell r="G53">
            <v>16</v>
          </cell>
          <cell r="H53">
            <v>329.2</v>
          </cell>
          <cell r="I53">
            <v>119</v>
          </cell>
        </row>
        <row r="54">
          <cell r="A54" t="str">
            <v>K= 16</v>
          </cell>
          <cell r="B54">
            <v>140.19999999999999</v>
          </cell>
          <cell r="C54">
            <v>141.4</v>
          </cell>
          <cell r="D54">
            <v>45.6</v>
          </cell>
          <cell r="E54">
            <v>47.2</v>
          </cell>
          <cell r="F54">
            <v>47.6</v>
          </cell>
          <cell r="G54">
            <v>78.8</v>
          </cell>
          <cell r="H54">
            <v>333.4</v>
          </cell>
          <cell r="I54">
            <v>248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topLeftCell="A9" zoomScaleNormal="100" workbookViewId="0">
      <selection activeCell="I19" sqref="I19"/>
    </sheetView>
  </sheetViews>
  <sheetFormatPr defaultRowHeight="15" x14ac:dyDescent="0.25"/>
  <cols>
    <col min="1" max="1" width="8" bestFit="1" customWidth="1"/>
    <col min="2" max="2" width="24.28515625" bestFit="1" customWidth="1"/>
    <col min="3" max="3" width="32.5703125" customWidth="1"/>
    <col min="4" max="4" width="38.28515625" bestFit="1" customWidth="1"/>
    <col min="5" max="5" width="35.42578125" bestFit="1" customWidth="1"/>
    <col min="6" max="6" width="9.5703125" bestFit="1" customWidth="1"/>
    <col min="8" max="8" width="21.85546875" bestFit="1" customWidth="1"/>
    <col min="9" max="9" width="23.28515625" bestFit="1" customWidth="1"/>
    <col min="10" max="10" width="48.140625" bestFit="1" customWidth="1"/>
  </cols>
  <sheetData>
    <row r="1" spans="1:10" x14ac:dyDescent="0.25">
      <c r="A1" s="14" t="s">
        <v>17</v>
      </c>
      <c r="B1" s="14"/>
      <c r="C1" s="14"/>
      <c r="D1" s="14"/>
      <c r="E1" s="14"/>
      <c r="F1" s="14"/>
      <c r="G1" s="14"/>
      <c r="I1" s="13" t="s">
        <v>30</v>
      </c>
    </row>
    <row r="2" spans="1:10" x14ac:dyDescent="0.25">
      <c r="A2" s="15" t="s">
        <v>11</v>
      </c>
      <c r="B2" s="15"/>
      <c r="C2" s="15"/>
      <c r="D2" s="15"/>
      <c r="E2" s="15"/>
      <c r="F2" s="15"/>
      <c r="G2" s="15"/>
      <c r="J2" t="s">
        <v>31</v>
      </c>
    </row>
    <row r="3" spans="1:10" ht="32.25" customHeight="1" x14ac:dyDescent="0.25">
      <c r="A3" s="2"/>
      <c r="B3" s="1" t="s">
        <v>6</v>
      </c>
      <c r="C3" s="3" t="s">
        <v>7</v>
      </c>
      <c r="D3" s="1" t="s">
        <v>8</v>
      </c>
      <c r="E3" s="3" t="s">
        <v>9</v>
      </c>
      <c r="F3" s="1" t="s">
        <v>0</v>
      </c>
      <c r="G3" s="1" t="s">
        <v>10</v>
      </c>
      <c r="H3" s="10" t="s">
        <v>24</v>
      </c>
      <c r="I3" s="11" t="s">
        <v>32</v>
      </c>
      <c r="J3" s="11" t="s">
        <v>33</v>
      </c>
    </row>
    <row r="4" spans="1:10" x14ac:dyDescent="0.25">
      <c r="A4" s="1" t="s">
        <v>1</v>
      </c>
      <c r="B4">
        <v>542</v>
      </c>
      <c r="C4">
        <v>930</v>
      </c>
      <c r="D4">
        <v>2519</v>
      </c>
      <c r="E4">
        <v>2470</v>
      </c>
      <c r="F4">
        <v>166</v>
      </c>
      <c r="G4">
        <v>138</v>
      </c>
      <c r="H4">
        <v>182</v>
      </c>
      <c r="I4">
        <v>163</v>
      </c>
      <c r="J4">
        <v>157</v>
      </c>
    </row>
    <row r="5" spans="1:10" x14ac:dyDescent="0.25">
      <c r="A5" s="1" t="s">
        <v>2</v>
      </c>
      <c r="B5">
        <v>936</v>
      </c>
      <c r="C5">
        <v>979</v>
      </c>
      <c r="D5">
        <v>1859</v>
      </c>
      <c r="E5">
        <v>1692</v>
      </c>
      <c r="F5">
        <v>153</v>
      </c>
      <c r="G5">
        <v>139</v>
      </c>
      <c r="H5">
        <v>183</v>
      </c>
      <c r="I5">
        <v>163</v>
      </c>
      <c r="J5">
        <v>163</v>
      </c>
    </row>
    <row r="6" spans="1:10" x14ac:dyDescent="0.25">
      <c r="A6" s="1" t="s">
        <v>3</v>
      </c>
      <c r="B6">
        <v>672</v>
      </c>
      <c r="C6">
        <v>1391</v>
      </c>
      <c r="D6">
        <v>2181</v>
      </c>
      <c r="E6">
        <v>1835</v>
      </c>
      <c r="F6">
        <v>185</v>
      </c>
      <c r="G6">
        <v>138</v>
      </c>
      <c r="H6">
        <v>182</v>
      </c>
      <c r="I6">
        <v>163</v>
      </c>
      <c r="J6">
        <v>163</v>
      </c>
    </row>
    <row r="7" spans="1:10" x14ac:dyDescent="0.25">
      <c r="A7" s="1" t="s">
        <v>4</v>
      </c>
      <c r="B7">
        <v>1078</v>
      </c>
      <c r="C7">
        <v>457</v>
      </c>
      <c r="D7">
        <v>1722</v>
      </c>
      <c r="E7">
        <v>2114</v>
      </c>
      <c r="F7">
        <v>170</v>
      </c>
      <c r="G7">
        <v>139</v>
      </c>
      <c r="H7">
        <v>183</v>
      </c>
      <c r="I7">
        <v>153</v>
      </c>
      <c r="J7">
        <v>157</v>
      </c>
    </row>
    <row r="8" spans="1:10" x14ac:dyDescent="0.25">
      <c r="A8" s="1" t="s">
        <v>5</v>
      </c>
      <c r="B8">
        <v>536</v>
      </c>
      <c r="C8">
        <v>862</v>
      </c>
      <c r="D8">
        <v>2390</v>
      </c>
      <c r="E8">
        <v>2533</v>
      </c>
      <c r="F8">
        <v>163</v>
      </c>
      <c r="G8">
        <v>138</v>
      </c>
      <c r="H8">
        <v>183</v>
      </c>
      <c r="I8">
        <v>163</v>
      </c>
      <c r="J8">
        <v>163</v>
      </c>
    </row>
    <row r="11" spans="1:10" x14ac:dyDescent="0.25">
      <c r="A11" s="14" t="s">
        <v>19</v>
      </c>
      <c r="B11" s="14"/>
      <c r="C11" s="14"/>
      <c r="D11" s="14"/>
      <c r="E11" s="14"/>
      <c r="F11" s="14"/>
      <c r="G11" s="14"/>
    </row>
    <row r="12" spans="1:10" x14ac:dyDescent="0.25">
      <c r="A12" s="15" t="s">
        <v>11</v>
      </c>
      <c r="B12" s="15"/>
      <c r="C12" s="15"/>
      <c r="D12" s="15"/>
      <c r="E12" s="15"/>
      <c r="F12" s="15"/>
      <c r="G12" s="15"/>
    </row>
    <row r="13" spans="1:10" ht="30" x14ac:dyDescent="0.25">
      <c r="A13" s="2"/>
      <c r="B13" s="1" t="s">
        <v>6</v>
      </c>
      <c r="C13" s="3" t="s">
        <v>7</v>
      </c>
      <c r="D13" s="1" t="s">
        <v>8</v>
      </c>
      <c r="E13" s="3" t="s">
        <v>9</v>
      </c>
      <c r="F13" s="1" t="s">
        <v>0</v>
      </c>
      <c r="G13" s="1" t="s">
        <v>10</v>
      </c>
      <c r="H13" s="10" t="s">
        <v>24</v>
      </c>
      <c r="I13" s="11" t="s">
        <v>32</v>
      </c>
      <c r="J13" s="11" t="s">
        <v>33</v>
      </c>
    </row>
    <row r="14" spans="1:10" x14ac:dyDescent="0.25">
      <c r="A14" s="1" t="s">
        <v>1</v>
      </c>
      <c r="B14">
        <v>3117</v>
      </c>
      <c r="C14">
        <v>1686</v>
      </c>
      <c r="D14">
        <v>2840</v>
      </c>
      <c r="E14">
        <v>2952</v>
      </c>
      <c r="F14">
        <v>357</v>
      </c>
      <c r="G14">
        <v>350</v>
      </c>
      <c r="H14">
        <v>381</v>
      </c>
      <c r="I14">
        <v>381</v>
      </c>
      <c r="J14">
        <v>362</v>
      </c>
    </row>
    <row r="15" spans="1:10" x14ac:dyDescent="0.25">
      <c r="A15" s="1" t="s">
        <v>2</v>
      </c>
      <c r="B15">
        <v>2755</v>
      </c>
      <c r="C15">
        <v>1449</v>
      </c>
      <c r="D15">
        <v>3045</v>
      </c>
      <c r="E15">
        <v>2366</v>
      </c>
      <c r="F15">
        <v>394</v>
      </c>
      <c r="G15">
        <v>343</v>
      </c>
      <c r="H15">
        <v>498</v>
      </c>
      <c r="I15">
        <v>366</v>
      </c>
      <c r="J15">
        <v>329</v>
      </c>
    </row>
    <row r="16" spans="1:10" x14ac:dyDescent="0.25">
      <c r="A16" s="1" t="s">
        <v>3</v>
      </c>
      <c r="B16">
        <v>3901</v>
      </c>
      <c r="C16">
        <v>1301</v>
      </c>
      <c r="D16">
        <v>2726</v>
      </c>
      <c r="E16">
        <v>2272</v>
      </c>
      <c r="F16">
        <v>419</v>
      </c>
      <c r="G16">
        <v>342</v>
      </c>
      <c r="H16">
        <v>623</v>
      </c>
      <c r="I16">
        <v>435</v>
      </c>
      <c r="J16">
        <v>326</v>
      </c>
    </row>
    <row r="17" spans="1:10" x14ac:dyDescent="0.25">
      <c r="A17" s="1" t="s">
        <v>4</v>
      </c>
      <c r="B17">
        <v>2026</v>
      </c>
      <c r="C17">
        <v>1499</v>
      </c>
      <c r="D17">
        <v>2562</v>
      </c>
      <c r="E17">
        <v>3095</v>
      </c>
      <c r="F17">
        <v>375</v>
      </c>
      <c r="G17">
        <v>340</v>
      </c>
      <c r="H17">
        <v>495</v>
      </c>
      <c r="I17">
        <v>408</v>
      </c>
      <c r="J17">
        <v>328</v>
      </c>
    </row>
    <row r="18" spans="1:10" x14ac:dyDescent="0.25">
      <c r="A18" s="1" t="s">
        <v>5</v>
      </c>
      <c r="B18">
        <v>967</v>
      </c>
      <c r="C18">
        <v>1641</v>
      </c>
      <c r="D18">
        <v>2970</v>
      </c>
      <c r="E18">
        <v>3007</v>
      </c>
      <c r="F18">
        <v>440</v>
      </c>
      <c r="G18">
        <v>351</v>
      </c>
      <c r="H18">
        <v>494</v>
      </c>
      <c r="I18">
        <v>353</v>
      </c>
      <c r="J18">
        <v>377</v>
      </c>
    </row>
    <row r="22" spans="1:10" x14ac:dyDescent="0.25">
      <c r="A22" s="14" t="s">
        <v>26</v>
      </c>
      <c r="B22" s="14"/>
      <c r="C22" s="14"/>
      <c r="D22" s="14"/>
      <c r="E22" s="14"/>
      <c r="F22" s="14"/>
      <c r="G22" s="14"/>
    </row>
    <row r="23" spans="1:10" x14ac:dyDescent="0.25">
      <c r="A23" s="15" t="s">
        <v>11</v>
      </c>
      <c r="B23" s="15"/>
      <c r="C23" s="15"/>
      <c r="D23" s="15"/>
      <c r="E23" s="15"/>
      <c r="F23" s="15"/>
      <c r="G23" s="15"/>
    </row>
    <row r="24" spans="1:10" ht="30" x14ac:dyDescent="0.25">
      <c r="A24" s="2"/>
      <c r="B24" s="1" t="s">
        <v>6</v>
      </c>
      <c r="C24" s="3" t="s">
        <v>7</v>
      </c>
      <c r="D24" s="1" t="s">
        <v>8</v>
      </c>
      <c r="E24" s="3" t="s">
        <v>9</v>
      </c>
      <c r="F24" s="1" t="s">
        <v>0</v>
      </c>
      <c r="G24" s="1" t="s">
        <v>10</v>
      </c>
      <c r="H24" s="10" t="s">
        <v>24</v>
      </c>
      <c r="I24" s="11" t="s">
        <v>32</v>
      </c>
      <c r="J24" s="11" t="s">
        <v>33</v>
      </c>
    </row>
    <row r="25" spans="1:10" x14ac:dyDescent="0.25">
      <c r="A25" s="1" t="s">
        <v>1</v>
      </c>
      <c r="B25">
        <v>5782</v>
      </c>
      <c r="C25">
        <v>2000</v>
      </c>
      <c r="D25">
        <v>3170</v>
      </c>
      <c r="E25">
        <v>3405</v>
      </c>
      <c r="F25">
        <v>701</v>
      </c>
      <c r="G25">
        <v>604</v>
      </c>
      <c r="H25">
        <v>7354</v>
      </c>
      <c r="I25">
        <v>4490</v>
      </c>
    </row>
    <row r="26" spans="1:10" x14ac:dyDescent="0.25">
      <c r="A26" s="1" t="s">
        <v>2</v>
      </c>
      <c r="B26">
        <v>3091</v>
      </c>
      <c r="C26">
        <v>2137</v>
      </c>
      <c r="D26">
        <v>3647</v>
      </c>
      <c r="E26">
        <v>3497</v>
      </c>
      <c r="F26">
        <v>605</v>
      </c>
      <c r="G26">
        <v>586</v>
      </c>
      <c r="H26">
        <v>5805</v>
      </c>
      <c r="I26">
        <v>3772</v>
      </c>
    </row>
    <row r="27" spans="1:10" x14ac:dyDescent="0.25">
      <c r="A27" s="1" t="s">
        <v>3</v>
      </c>
      <c r="B27">
        <v>4176</v>
      </c>
      <c r="C27">
        <v>2418</v>
      </c>
      <c r="D27">
        <v>3904</v>
      </c>
      <c r="E27">
        <v>4197</v>
      </c>
      <c r="F27">
        <v>648</v>
      </c>
      <c r="G27">
        <v>584</v>
      </c>
      <c r="H27">
        <v>6699</v>
      </c>
      <c r="I27">
        <v>3379</v>
      </c>
    </row>
    <row r="28" spans="1:10" x14ac:dyDescent="0.25">
      <c r="A28" s="1" t="s">
        <v>4</v>
      </c>
      <c r="B28">
        <v>6833</v>
      </c>
      <c r="C28">
        <v>2009</v>
      </c>
      <c r="D28">
        <v>4365</v>
      </c>
      <c r="E28">
        <v>3310</v>
      </c>
      <c r="F28">
        <v>659</v>
      </c>
      <c r="G28">
        <v>649</v>
      </c>
      <c r="H28">
        <v>6266</v>
      </c>
      <c r="I28">
        <v>3912</v>
      </c>
    </row>
    <row r="29" spans="1:10" x14ac:dyDescent="0.25">
      <c r="A29" s="1" t="s">
        <v>5</v>
      </c>
      <c r="B29">
        <v>4792</v>
      </c>
      <c r="C29">
        <v>2437</v>
      </c>
      <c r="D29">
        <v>3336</v>
      </c>
      <c r="E29">
        <v>3752</v>
      </c>
      <c r="F29">
        <v>630</v>
      </c>
      <c r="G29">
        <v>600</v>
      </c>
      <c r="H29">
        <v>5464</v>
      </c>
      <c r="I29">
        <v>2071</v>
      </c>
    </row>
    <row r="33" spans="1:10" x14ac:dyDescent="0.25">
      <c r="A33" s="14" t="s">
        <v>21</v>
      </c>
      <c r="B33" s="14"/>
      <c r="C33" s="14"/>
      <c r="D33" s="14"/>
      <c r="E33" s="14"/>
      <c r="F33" s="14"/>
      <c r="G33" s="14"/>
    </row>
    <row r="34" spans="1:10" x14ac:dyDescent="0.25">
      <c r="A34" s="15" t="s">
        <v>11</v>
      </c>
      <c r="B34" s="15"/>
      <c r="C34" s="15"/>
      <c r="D34" s="15"/>
      <c r="E34" s="15"/>
      <c r="F34" s="15"/>
      <c r="G34" s="15"/>
    </row>
    <row r="35" spans="1:10" ht="30" x14ac:dyDescent="0.25">
      <c r="A35" s="2"/>
      <c r="B35" s="1" t="s">
        <v>6</v>
      </c>
      <c r="C35" s="3" t="s">
        <v>7</v>
      </c>
      <c r="D35" s="1" t="s">
        <v>8</v>
      </c>
      <c r="E35" s="3" t="s">
        <v>9</v>
      </c>
      <c r="F35" s="1" t="s">
        <v>0</v>
      </c>
      <c r="G35" s="1" t="s">
        <v>10</v>
      </c>
      <c r="H35" s="10" t="s">
        <v>24</v>
      </c>
      <c r="I35" s="11" t="s">
        <v>32</v>
      </c>
      <c r="J35" s="11" t="s">
        <v>33</v>
      </c>
    </row>
    <row r="36" spans="1:10" x14ac:dyDescent="0.25">
      <c r="A36" s="1" t="s">
        <v>1</v>
      </c>
      <c r="B36">
        <v>10511</v>
      </c>
      <c r="C36">
        <v>3246</v>
      </c>
      <c r="D36">
        <v>4551</v>
      </c>
      <c r="E36">
        <v>4206</v>
      </c>
      <c r="F36">
        <v>1217</v>
      </c>
      <c r="G36">
        <v>1081</v>
      </c>
      <c r="H36">
        <v>10599</v>
      </c>
      <c r="I36">
        <v>5162</v>
      </c>
    </row>
    <row r="37" spans="1:10" x14ac:dyDescent="0.25">
      <c r="A37" s="1" t="s">
        <v>2</v>
      </c>
      <c r="B37">
        <v>7791</v>
      </c>
      <c r="C37">
        <v>3479</v>
      </c>
      <c r="D37">
        <v>4638</v>
      </c>
      <c r="E37">
        <v>4443</v>
      </c>
      <c r="F37">
        <v>1171</v>
      </c>
      <c r="G37">
        <v>984</v>
      </c>
      <c r="H37">
        <v>8325</v>
      </c>
      <c r="I37">
        <v>5369</v>
      </c>
    </row>
    <row r="38" spans="1:10" x14ac:dyDescent="0.25">
      <c r="A38" s="1" t="s">
        <v>3</v>
      </c>
      <c r="B38">
        <v>6208</v>
      </c>
      <c r="C38">
        <v>2855</v>
      </c>
      <c r="D38">
        <v>3445</v>
      </c>
      <c r="E38">
        <v>3679</v>
      </c>
      <c r="F38">
        <v>1168</v>
      </c>
      <c r="G38">
        <v>1060</v>
      </c>
      <c r="H38">
        <v>10821</v>
      </c>
      <c r="I38">
        <v>5876</v>
      </c>
    </row>
    <row r="39" spans="1:10" x14ac:dyDescent="0.25">
      <c r="A39" s="1" t="s">
        <v>4</v>
      </c>
      <c r="B39">
        <v>9466</v>
      </c>
      <c r="C39">
        <v>2928</v>
      </c>
      <c r="D39">
        <v>4927</v>
      </c>
      <c r="E39">
        <v>3928</v>
      </c>
      <c r="F39">
        <v>1140</v>
      </c>
      <c r="G39">
        <v>1017</v>
      </c>
      <c r="H39">
        <v>10677</v>
      </c>
      <c r="I39">
        <v>6009</v>
      </c>
    </row>
    <row r="40" spans="1:10" x14ac:dyDescent="0.25">
      <c r="A40" s="1" t="s">
        <v>5</v>
      </c>
      <c r="B40">
        <v>9745</v>
      </c>
      <c r="C40">
        <v>3446</v>
      </c>
      <c r="D40">
        <v>3946</v>
      </c>
      <c r="E40">
        <v>4442</v>
      </c>
      <c r="F40">
        <v>1112</v>
      </c>
      <c r="G40">
        <v>1104</v>
      </c>
      <c r="H40">
        <v>5946</v>
      </c>
      <c r="I40">
        <v>5790</v>
      </c>
    </row>
    <row r="53" spans="1:10" x14ac:dyDescent="0.25">
      <c r="A53" s="16" t="s">
        <v>22</v>
      </c>
      <c r="B53" s="16"/>
      <c r="C53" s="16"/>
      <c r="D53" s="16"/>
      <c r="E53" s="16"/>
      <c r="F53" s="16"/>
      <c r="G53" s="16"/>
    </row>
    <row r="54" spans="1:10" ht="30" x14ac:dyDescent="0.25">
      <c r="A54" s="2"/>
      <c r="B54" s="1" t="s">
        <v>6</v>
      </c>
      <c r="C54" s="3" t="s">
        <v>7</v>
      </c>
      <c r="D54" s="1" t="s">
        <v>8</v>
      </c>
      <c r="E54" s="3" t="s">
        <v>9</v>
      </c>
      <c r="F54" s="1" t="s">
        <v>0</v>
      </c>
      <c r="G54" s="1" t="s">
        <v>10</v>
      </c>
      <c r="H54" s="10" t="s">
        <v>24</v>
      </c>
      <c r="I54" s="11" t="s">
        <v>32</v>
      </c>
      <c r="J54" s="11" t="s">
        <v>33</v>
      </c>
    </row>
    <row r="55" spans="1:10" x14ac:dyDescent="0.25">
      <c r="A55" s="1">
        <v>2</v>
      </c>
      <c r="B55">
        <f t="shared" ref="B55:G55" si="0">AVERAGE(B4:B8)</f>
        <v>752.8</v>
      </c>
      <c r="C55">
        <f t="shared" si="0"/>
        <v>923.8</v>
      </c>
      <c r="D55">
        <f t="shared" si="0"/>
        <v>2134.1999999999998</v>
      </c>
      <c r="E55">
        <f t="shared" si="0"/>
        <v>2128.8000000000002</v>
      </c>
      <c r="F55">
        <f t="shared" si="0"/>
        <v>167.4</v>
      </c>
      <c r="G55">
        <f t="shared" si="0"/>
        <v>138.4</v>
      </c>
      <c r="H55">
        <f>AVERAGE(H4:H8)</f>
        <v>182.6</v>
      </c>
      <c r="I55">
        <f>AVERAGE(I4:I8)</f>
        <v>161</v>
      </c>
    </row>
    <row r="56" spans="1:10" x14ac:dyDescent="0.25">
      <c r="A56" s="1">
        <v>4</v>
      </c>
      <c r="B56">
        <f t="shared" ref="B56:G56" si="1">AVERAGE(B14:B18)</f>
        <v>2553.1999999999998</v>
      </c>
      <c r="C56">
        <f t="shared" si="1"/>
        <v>1515.2</v>
      </c>
      <c r="D56">
        <f t="shared" si="1"/>
        <v>2828.6</v>
      </c>
      <c r="E56">
        <f t="shared" si="1"/>
        <v>2738.4</v>
      </c>
      <c r="F56">
        <f t="shared" si="1"/>
        <v>397</v>
      </c>
      <c r="G56">
        <f t="shared" si="1"/>
        <v>345.2</v>
      </c>
      <c r="H56">
        <f>AVERAGE(H14:H18)</f>
        <v>498.2</v>
      </c>
      <c r="I56">
        <f>AVERAGE(I14:I18)</f>
        <v>388.6</v>
      </c>
    </row>
    <row r="57" spans="1:10" x14ac:dyDescent="0.25">
      <c r="A57" s="1">
        <v>8</v>
      </c>
      <c r="B57">
        <f t="shared" ref="B57:G57" si="2">AVERAGE(B25:B29)</f>
        <v>4934.8</v>
      </c>
      <c r="C57">
        <f t="shared" si="2"/>
        <v>2200.1999999999998</v>
      </c>
      <c r="D57">
        <f t="shared" si="2"/>
        <v>3684.4</v>
      </c>
      <c r="E57">
        <f t="shared" si="2"/>
        <v>3632.2</v>
      </c>
      <c r="F57">
        <f t="shared" si="2"/>
        <v>648.6</v>
      </c>
      <c r="G57">
        <f t="shared" si="2"/>
        <v>604.6</v>
      </c>
      <c r="H57">
        <f>AVERAGE(H25:H29)</f>
        <v>6317.6</v>
      </c>
      <c r="I57">
        <f>AVERAGE(I25:I29)</f>
        <v>3524.8</v>
      </c>
    </row>
    <row r="58" spans="1:10" x14ac:dyDescent="0.25">
      <c r="A58" s="1">
        <v>16</v>
      </c>
      <c r="B58">
        <f t="shared" ref="B58:G58" si="3">AVERAGE(B36:B40)</f>
        <v>8744.2000000000007</v>
      </c>
      <c r="C58">
        <f t="shared" si="3"/>
        <v>3190.8</v>
      </c>
      <c r="D58">
        <f t="shared" si="3"/>
        <v>4301.3999999999996</v>
      </c>
      <c r="E58">
        <f t="shared" si="3"/>
        <v>4139.6000000000004</v>
      </c>
      <c r="F58">
        <f t="shared" si="3"/>
        <v>1161.5999999999999</v>
      </c>
      <c r="G58">
        <f t="shared" si="3"/>
        <v>1049.2</v>
      </c>
      <c r="H58">
        <f>AVERAGE(H36:H40)</f>
        <v>9273.6</v>
      </c>
      <c r="I58">
        <f>AVERAGE(I36:I40)</f>
        <v>5641.2</v>
      </c>
    </row>
    <row r="65" spans="5:10" x14ac:dyDescent="0.25">
      <c r="F65" s="1" t="s">
        <v>0</v>
      </c>
      <c r="G65" s="1" t="s">
        <v>10</v>
      </c>
      <c r="H65" s="10" t="s">
        <v>24</v>
      </c>
      <c r="I65" s="11" t="s">
        <v>32</v>
      </c>
      <c r="J65" s="11" t="s">
        <v>33</v>
      </c>
    </row>
    <row r="66" spans="5:10" x14ac:dyDescent="0.25">
      <c r="E66" s="1">
        <v>2</v>
      </c>
      <c r="F66" s="12">
        <f>(G55 - F55) / G55</f>
        <v>-0.20953757225433525</v>
      </c>
      <c r="G66" s="12">
        <f>(G55 - G55) / G55</f>
        <v>0</v>
      </c>
      <c r="H66" s="12">
        <f>(G55 - H55) / G55</f>
        <v>-0.31936416184971089</v>
      </c>
      <c r="I66" s="12">
        <f>(G55 - I55) / G55</f>
        <v>-0.16329479768786123</v>
      </c>
    </row>
    <row r="67" spans="5:10" x14ac:dyDescent="0.25">
      <c r="E67" s="1">
        <v>4</v>
      </c>
      <c r="F67" s="12">
        <f t="shared" ref="F67:F69" si="4">(G56 - F56) / G56</f>
        <v>-0.15005793742757825</v>
      </c>
      <c r="G67" s="12">
        <f t="shared" ref="G67:G69" si="5">(G56 - G56) / G56</f>
        <v>0</v>
      </c>
      <c r="H67" s="12">
        <f t="shared" ref="H67:H69" si="6">(G56 - H56) / G56</f>
        <v>-0.44322132097334882</v>
      </c>
      <c r="I67" s="12">
        <f t="shared" ref="I67:I69" si="7">(G56 - I56) / G56</f>
        <v>-0.12572421784472779</v>
      </c>
    </row>
    <row r="68" spans="5:10" x14ac:dyDescent="0.25">
      <c r="E68" s="1">
        <v>8</v>
      </c>
      <c r="F68" s="12">
        <f t="shared" si="4"/>
        <v>-7.2775388686735026E-2</v>
      </c>
      <c r="G68" s="12">
        <f t="shared" si="5"/>
        <v>0</v>
      </c>
      <c r="H68" s="12">
        <f t="shared" si="6"/>
        <v>-9.4492226265299362</v>
      </c>
      <c r="I68" s="12">
        <f t="shared" si="7"/>
        <v>-4.8299702282500832</v>
      </c>
    </row>
    <row r="69" spans="5:10" x14ac:dyDescent="0.25">
      <c r="E69" s="1">
        <v>16</v>
      </c>
      <c r="F69" s="12">
        <f t="shared" si="4"/>
        <v>-0.10712924132672499</v>
      </c>
      <c r="G69" s="12">
        <f t="shared" si="5"/>
        <v>0</v>
      </c>
      <c r="H69" s="12">
        <f t="shared" si="6"/>
        <v>-7.8387342737323671</v>
      </c>
      <c r="I69" s="12">
        <f t="shared" si="7"/>
        <v>-4.3766679374761726</v>
      </c>
    </row>
  </sheetData>
  <mergeCells count="9">
    <mergeCell ref="A1:G1"/>
    <mergeCell ref="A11:G11"/>
    <mergeCell ref="A12:G12"/>
    <mergeCell ref="A22:G22"/>
    <mergeCell ref="A53:G53"/>
    <mergeCell ref="A23:G23"/>
    <mergeCell ref="A33:G33"/>
    <mergeCell ref="A34:G34"/>
    <mergeCell ref="A2:G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8"/>
  <sheetViews>
    <sheetView zoomScale="85" zoomScaleNormal="85" workbookViewId="0">
      <selection activeCell="J18" sqref="J18"/>
    </sheetView>
  </sheetViews>
  <sheetFormatPr defaultRowHeight="15" x14ac:dyDescent="0.25"/>
  <cols>
    <col min="2" max="2" width="24.28515625" bestFit="1" customWidth="1"/>
    <col min="3" max="3" width="17" bestFit="1" customWidth="1"/>
    <col min="4" max="4" width="38.28515625" bestFit="1" customWidth="1"/>
    <col min="5" max="5" width="35.42578125" bestFit="1" customWidth="1"/>
    <col min="6" max="6" width="9.5703125" bestFit="1" customWidth="1"/>
    <col min="7" max="7" width="31.28515625" customWidth="1"/>
    <col min="8" max="8" width="21.85546875" bestFit="1" customWidth="1"/>
    <col min="9" max="9" width="23.28515625" bestFit="1" customWidth="1"/>
    <col min="10" max="10" width="23.7109375" bestFit="1" customWidth="1"/>
  </cols>
  <sheetData>
    <row r="1" spans="1:10" x14ac:dyDescent="0.25">
      <c r="A1" s="14" t="s">
        <v>17</v>
      </c>
      <c r="B1" s="14"/>
      <c r="C1" s="14"/>
      <c r="D1" s="14"/>
      <c r="E1" s="14"/>
      <c r="F1" s="14"/>
      <c r="G1" s="14"/>
    </row>
    <row r="2" spans="1:10" x14ac:dyDescent="0.25">
      <c r="A2" s="15" t="s">
        <v>15</v>
      </c>
      <c r="B2" s="15"/>
      <c r="C2" s="15"/>
      <c r="D2" s="15"/>
      <c r="E2" s="15"/>
      <c r="F2" s="15"/>
      <c r="G2" s="15"/>
    </row>
    <row r="3" spans="1:10" ht="45" x14ac:dyDescent="0.25">
      <c r="A3" s="2"/>
      <c r="B3" s="1" t="s">
        <v>6</v>
      </c>
      <c r="C3" s="3" t="s">
        <v>7</v>
      </c>
      <c r="D3" s="1" t="s">
        <v>8</v>
      </c>
      <c r="E3" s="3" t="s">
        <v>9</v>
      </c>
      <c r="F3" s="1" t="s">
        <v>0</v>
      </c>
      <c r="G3" s="1" t="s">
        <v>10</v>
      </c>
      <c r="H3" s="10" t="s">
        <v>24</v>
      </c>
      <c r="I3" s="11" t="s">
        <v>32</v>
      </c>
      <c r="J3" s="11" t="s">
        <v>33</v>
      </c>
    </row>
    <row r="4" spans="1:10" x14ac:dyDescent="0.25">
      <c r="A4" s="1" t="s">
        <v>1</v>
      </c>
      <c r="B4">
        <v>8.3290000000000006</v>
      </c>
      <c r="C4">
        <v>7.5039999999999996</v>
      </c>
      <c r="D4">
        <v>3.9249999999999998</v>
      </c>
      <c r="E4">
        <v>0.79400000000000004</v>
      </c>
      <c r="F4">
        <v>1.9279999999999999</v>
      </c>
      <c r="G4">
        <v>1.4690000000000001</v>
      </c>
      <c r="H4">
        <v>2.855</v>
      </c>
      <c r="I4">
        <v>2.1709999999999998</v>
      </c>
      <c r="J4">
        <v>2.1949999999999998</v>
      </c>
    </row>
    <row r="5" spans="1:10" x14ac:dyDescent="0.25">
      <c r="A5" s="1" t="s">
        <v>2</v>
      </c>
      <c r="B5">
        <v>8.2430000000000003</v>
      </c>
      <c r="C5">
        <v>9.1219999999999999</v>
      </c>
      <c r="D5">
        <v>4.3819999999999997</v>
      </c>
      <c r="E5">
        <v>0.86799999999999999</v>
      </c>
      <c r="F5">
        <v>1.335</v>
      </c>
      <c r="G5">
        <v>0.70499999999999996</v>
      </c>
      <c r="H5">
        <v>2.2549999999999999</v>
      </c>
      <c r="I5">
        <v>2.4359999999999999</v>
      </c>
      <c r="J5">
        <v>2.31</v>
      </c>
    </row>
    <row r="6" spans="1:10" x14ac:dyDescent="0.25">
      <c r="A6" s="1" t="s">
        <v>3</v>
      </c>
      <c r="B6">
        <v>8.6890000000000001</v>
      </c>
      <c r="C6">
        <v>6.8959999999999999</v>
      </c>
      <c r="D6">
        <v>4.1840000000000002</v>
      </c>
      <c r="E6">
        <v>0.92100000000000004</v>
      </c>
      <c r="F6">
        <v>1.387</v>
      </c>
      <c r="G6">
        <v>0.76400000000000001</v>
      </c>
      <c r="H6">
        <v>2.456</v>
      </c>
      <c r="I6">
        <v>2.4470000000000001</v>
      </c>
      <c r="J6">
        <v>2.3540000000000001</v>
      </c>
    </row>
    <row r="7" spans="1:10" x14ac:dyDescent="0.25">
      <c r="A7" s="1" t="s">
        <v>4</v>
      </c>
      <c r="B7">
        <v>7.58</v>
      </c>
      <c r="C7">
        <v>9.02</v>
      </c>
      <c r="D7">
        <v>4.5490000000000004</v>
      </c>
      <c r="E7">
        <v>0.92700000000000005</v>
      </c>
      <c r="F7">
        <v>1.4239999999999999</v>
      </c>
      <c r="G7">
        <v>1.0149999999999999</v>
      </c>
      <c r="H7">
        <v>2.3029999999999999</v>
      </c>
      <c r="I7">
        <v>2.61</v>
      </c>
      <c r="J7">
        <v>2.6230000000000002</v>
      </c>
    </row>
    <row r="8" spans="1:10" x14ac:dyDescent="0.25">
      <c r="A8" s="1" t="s">
        <v>5</v>
      </c>
      <c r="B8">
        <v>7.9509999999999996</v>
      </c>
      <c r="C8">
        <v>8.6210000000000004</v>
      </c>
      <c r="D8">
        <v>3.9910000000000001</v>
      </c>
      <c r="E8">
        <v>0.89400000000000002</v>
      </c>
      <c r="F8">
        <v>1.3069999999999999</v>
      </c>
      <c r="G8">
        <v>0.98899999999999999</v>
      </c>
      <c r="H8">
        <v>2.6709999999999998</v>
      </c>
      <c r="I8">
        <v>2.2200000000000002</v>
      </c>
      <c r="J8">
        <v>2.161</v>
      </c>
    </row>
    <row r="11" spans="1:10" x14ac:dyDescent="0.25">
      <c r="A11" s="14" t="s">
        <v>19</v>
      </c>
      <c r="B11" s="14"/>
      <c r="C11" s="14"/>
      <c r="D11" s="14"/>
      <c r="E11" s="14"/>
      <c r="F11" s="14"/>
      <c r="G11" s="14"/>
    </row>
    <row r="12" spans="1:10" x14ac:dyDescent="0.25">
      <c r="A12" s="15" t="s">
        <v>15</v>
      </c>
      <c r="B12" s="15"/>
      <c r="C12" s="15"/>
      <c r="D12" s="15"/>
      <c r="E12" s="15"/>
      <c r="F12" s="15"/>
      <c r="G12" s="15"/>
    </row>
    <row r="13" spans="1:10" ht="45" x14ac:dyDescent="0.25">
      <c r="A13" s="2"/>
      <c r="B13" s="1" t="s">
        <v>6</v>
      </c>
      <c r="C13" s="3" t="s">
        <v>7</v>
      </c>
      <c r="D13" s="1" t="s">
        <v>8</v>
      </c>
      <c r="E13" s="3" t="s">
        <v>9</v>
      </c>
      <c r="F13" s="1" t="s">
        <v>0</v>
      </c>
      <c r="G13" s="1" t="s">
        <v>10</v>
      </c>
      <c r="H13" s="10" t="s">
        <v>24</v>
      </c>
      <c r="I13" s="11" t="s">
        <v>32</v>
      </c>
      <c r="J13" s="11" t="s">
        <v>33</v>
      </c>
    </row>
    <row r="14" spans="1:10" x14ac:dyDescent="0.25">
      <c r="A14" s="1" t="s">
        <v>1</v>
      </c>
      <c r="B14">
        <v>41.652000000000001</v>
      </c>
      <c r="C14">
        <v>40.526000000000003</v>
      </c>
      <c r="D14">
        <v>2.3820000000000001</v>
      </c>
      <c r="E14">
        <v>1.0840000000000001</v>
      </c>
      <c r="F14">
        <v>2.3490000000000002</v>
      </c>
      <c r="G14">
        <v>1.357</v>
      </c>
      <c r="H14">
        <v>2.8679999999999999</v>
      </c>
      <c r="I14">
        <v>2.9380000000000002</v>
      </c>
      <c r="J14">
        <v>2.7719999999999998</v>
      </c>
    </row>
    <row r="15" spans="1:10" x14ac:dyDescent="0.25">
      <c r="A15" s="1" t="s">
        <v>2</v>
      </c>
      <c r="B15">
        <v>47.238</v>
      </c>
      <c r="C15">
        <v>39.264000000000003</v>
      </c>
      <c r="D15">
        <v>3.8490000000000002</v>
      </c>
      <c r="E15">
        <v>1.339</v>
      </c>
      <c r="F15">
        <v>2.0659999999999998</v>
      </c>
      <c r="G15">
        <v>0.9</v>
      </c>
      <c r="H15">
        <v>2.9630000000000001</v>
      </c>
      <c r="I15">
        <v>3.89</v>
      </c>
      <c r="J15">
        <v>2.9940000000000002</v>
      </c>
    </row>
    <row r="16" spans="1:10" x14ac:dyDescent="0.25">
      <c r="A16" s="1" t="s">
        <v>3</v>
      </c>
      <c r="B16">
        <v>37.552999999999997</v>
      </c>
      <c r="C16">
        <v>38.283999999999999</v>
      </c>
      <c r="D16">
        <v>2.117</v>
      </c>
      <c r="E16">
        <v>1.2410000000000001</v>
      </c>
      <c r="F16">
        <v>2.0070000000000001</v>
      </c>
      <c r="G16">
        <v>0.93899999999999995</v>
      </c>
      <c r="H16">
        <v>2.9830000000000001</v>
      </c>
      <c r="I16">
        <v>3.1549999999999998</v>
      </c>
      <c r="J16">
        <v>3.0619999999999998</v>
      </c>
    </row>
    <row r="17" spans="1:10" x14ac:dyDescent="0.25">
      <c r="A17" s="1" t="s">
        <v>4</v>
      </c>
      <c r="B17">
        <v>40.277999999999999</v>
      </c>
      <c r="C17">
        <v>39.789000000000001</v>
      </c>
      <c r="D17">
        <v>4.0270000000000001</v>
      </c>
      <c r="E17">
        <v>1.3</v>
      </c>
      <c r="F17">
        <v>1.931</v>
      </c>
      <c r="G17">
        <v>0.92900000000000005</v>
      </c>
      <c r="H17">
        <v>2.992</v>
      </c>
      <c r="I17">
        <v>3</v>
      </c>
      <c r="J17">
        <v>2.8690000000000002</v>
      </c>
    </row>
    <row r="18" spans="1:10" x14ac:dyDescent="0.25">
      <c r="A18" s="1" t="s">
        <v>5</v>
      </c>
      <c r="B18">
        <v>40.090000000000003</v>
      </c>
      <c r="C18">
        <v>37.628999999999998</v>
      </c>
      <c r="D18">
        <v>2.7509999999999999</v>
      </c>
      <c r="E18">
        <v>1.2090000000000001</v>
      </c>
      <c r="F18">
        <v>2.0790000000000002</v>
      </c>
      <c r="G18">
        <v>1.157</v>
      </c>
      <c r="H18">
        <v>3.226</v>
      </c>
      <c r="I18">
        <v>3.133</v>
      </c>
      <c r="J18">
        <v>3.1379999999999999</v>
      </c>
    </row>
    <row r="21" spans="1:10" x14ac:dyDescent="0.25">
      <c r="A21" s="14" t="s">
        <v>20</v>
      </c>
      <c r="B21" s="14"/>
      <c r="C21" s="14"/>
      <c r="D21" s="14"/>
      <c r="E21" s="14"/>
      <c r="F21" s="14"/>
      <c r="G21" s="14"/>
    </row>
    <row r="22" spans="1:10" x14ac:dyDescent="0.25">
      <c r="A22" s="15" t="s">
        <v>15</v>
      </c>
      <c r="B22" s="15"/>
      <c r="C22" s="15"/>
      <c r="D22" s="15"/>
      <c r="E22" s="15"/>
      <c r="F22" s="15"/>
      <c r="G22" s="15"/>
    </row>
    <row r="23" spans="1:10" ht="45" x14ac:dyDescent="0.25">
      <c r="A23" s="2"/>
      <c r="B23" s="1" t="s">
        <v>6</v>
      </c>
      <c r="C23" s="3" t="s">
        <v>7</v>
      </c>
      <c r="D23" s="1" t="s">
        <v>8</v>
      </c>
      <c r="E23" s="3" t="s">
        <v>9</v>
      </c>
      <c r="F23" s="1" t="s">
        <v>0</v>
      </c>
      <c r="G23" s="1" t="s">
        <v>10</v>
      </c>
      <c r="H23" s="10" t="s">
        <v>24</v>
      </c>
      <c r="I23" s="11" t="s">
        <v>32</v>
      </c>
      <c r="J23" s="11" t="s">
        <v>33</v>
      </c>
    </row>
    <row r="24" spans="1:10" x14ac:dyDescent="0.25">
      <c r="A24" s="1" t="s">
        <v>1</v>
      </c>
      <c r="B24">
        <v>60.987000000000002</v>
      </c>
      <c r="C24">
        <v>56.573999999999998</v>
      </c>
      <c r="D24">
        <v>4.181</v>
      </c>
      <c r="E24">
        <v>1.1080000000000001</v>
      </c>
      <c r="F24">
        <v>1.9259999999999999</v>
      </c>
      <c r="G24">
        <v>0.85599999999999998</v>
      </c>
    </row>
    <row r="25" spans="1:10" x14ac:dyDescent="0.25">
      <c r="A25" s="1" t="s">
        <v>2</v>
      </c>
      <c r="B25">
        <v>51.774000000000001</v>
      </c>
      <c r="C25">
        <v>55.954000000000001</v>
      </c>
      <c r="D25">
        <v>2.726</v>
      </c>
      <c r="E25">
        <v>1.173</v>
      </c>
      <c r="F25">
        <v>2.0960000000000001</v>
      </c>
      <c r="G25">
        <v>1.1639999999999999</v>
      </c>
    </row>
    <row r="26" spans="1:10" x14ac:dyDescent="0.25">
      <c r="A26" s="1" t="s">
        <v>3</v>
      </c>
      <c r="B26">
        <v>55.841999999999999</v>
      </c>
      <c r="C26">
        <v>45.914000000000001</v>
      </c>
      <c r="D26">
        <v>5.5640000000000001</v>
      </c>
      <c r="E26">
        <v>1.1850000000000001</v>
      </c>
      <c r="F26">
        <v>2.262</v>
      </c>
      <c r="G26">
        <v>1.304</v>
      </c>
    </row>
    <row r="27" spans="1:10" x14ac:dyDescent="0.25">
      <c r="A27" s="1" t="s">
        <v>4</v>
      </c>
      <c r="B27">
        <v>57.386000000000003</v>
      </c>
      <c r="C27">
        <v>52.954999999999998</v>
      </c>
      <c r="D27">
        <v>3.6930000000000001</v>
      </c>
      <c r="E27">
        <v>1.181</v>
      </c>
      <c r="F27">
        <v>2.2330000000000001</v>
      </c>
      <c r="G27">
        <v>1.5289999999999999</v>
      </c>
    </row>
    <row r="28" spans="1:10" x14ac:dyDescent="0.25">
      <c r="A28" s="1" t="s">
        <v>5</v>
      </c>
      <c r="B28">
        <v>61.35</v>
      </c>
      <c r="C28">
        <v>51.984999999999999</v>
      </c>
      <c r="D28">
        <v>2.6120000000000001</v>
      </c>
      <c r="E28">
        <v>1.282</v>
      </c>
      <c r="F28">
        <v>2.1989999999999998</v>
      </c>
      <c r="G28">
        <v>1.244</v>
      </c>
    </row>
    <row r="32" spans="1:10" x14ac:dyDescent="0.25">
      <c r="A32" s="14" t="s">
        <v>21</v>
      </c>
      <c r="B32" s="14"/>
      <c r="C32" s="14"/>
      <c r="D32" s="14"/>
      <c r="E32" s="14"/>
      <c r="F32" s="14"/>
      <c r="G32" s="14"/>
    </row>
    <row r="33" spans="1:10" x14ac:dyDescent="0.25">
      <c r="A33" s="15" t="s">
        <v>15</v>
      </c>
      <c r="B33" s="15"/>
      <c r="C33" s="15"/>
      <c r="D33" s="15"/>
      <c r="E33" s="15"/>
      <c r="F33" s="15"/>
      <c r="G33" s="15"/>
    </row>
    <row r="34" spans="1:10" ht="45" x14ac:dyDescent="0.25">
      <c r="A34" s="2"/>
      <c r="B34" s="1" t="s">
        <v>6</v>
      </c>
      <c r="C34" s="3" t="s">
        <v>7</v>
      </c>
      <c r="D34" s="1" t="s">
        <v>8</v>
      </c>
      <c r="E34" s="3" t="s">
        <v>9</v>
      </c>
      <c r="F34" s="1" t="s">
        <v>0</v>
      </c>
      <c r="G34" s="1" t="s">
        <v>10</v>
      </c>
      <c r="H34" s="10" t="s">
        <v>24</v>
      </c>
      <c r="I34" s="11" t="s">
        <v>32</v>
      </c>
      <c r="J34" s="11" t="s">
        <v>33</v>
      </c>
    </row>
    <row r="35" spans="1:10" x14ac:dyDescent="0.25">
      <c r="A35" s="1" t="s">
        <v>1</v>
      </c>
      <c r="B35">
        <v>58.968000000000004</v>
      </c>
      <c r="C35">
        <v>52.424999999999997</v>
      </c>
      <c r="D35">
        <v>3.573</v>
      </c>
      <c r="E35">
        <v>1.3120000000000001</v>
      </c>
      <c r="F35">
        <v>2.5259999999999998</v>
      </c>
      <c r="G35">
        <v>1.222</v>
      </c>
      <c r="H35">
        <v>5.3860000000000001</v>
      </c>
      <c r="I35">
        <v>3.5619999999999998</v>
      </c>
    </row>
    <row r="36" spans="1:10" x14ac:dyDescent="0.25">
      <c r="A36" s="1" t="s">
        <v>2</v>
      </c>
      <c r="B36">
        <v>56.76</v>
      </c>
      <c r="C36">
        <v>54.411000000000001</v>
      </c>
      <c r="D36">
        <v>4.242</v>
      </c>
      <c r="E36">
        <v>1.518</v>
      </c>
      <c r="F36">
        <v>3.2890000000000001</v>
      </c>
      <c r="G36">
        <v>2.15</v>
      </c>
      <c r="H36">
        <v>5.2069999999999999</v>
      </c>
      <c r="I36">
        <v>3.8359999999999999</v>
      </c>
    </row>
    <row r="37" spans="1:10" x14ac:dyDescent="0.25">
      <c r="A37" s="1" t="s">
        <v>3</v>
      </c>
      <c r="B37">
        <v>55.945</v>
      </c>
      <c r="C37">
        <v>58.024999999999999</v>
      </c>
      <c r="D37">
        <v>3.6640000000000001</v>
      </c>
      <c r="E37">
        <v>1.343</v>
      </c>
      <c r="F37">
        <v>2.9929999999999999</v>
      </c>
      <c r="G37">
        <v>1.5660000000000001</v>
      </c>
      <c r="H37">
        <v>4.9720000000000004</v>
      </c>
      <c r="I37">
        <v>3.5710000000000002</v>
      </c>
    </row>
    <row r="38" spans="1:10" x14ac:dyDescent="0.25">
      <c r="A38" s="1" t="s">
        <v>4</v>
      </c>
      <c r="B38">
        <v>55.603000000000002</v>
      </c>
      <c r="C38">
        <v>55.481999999999999</v>
      </c>
      <c r="D38">
        <v>5.915</v>
      </c>
      <c r="E38">
        <v>1.3080000000000001</v>
      </c>
      <c r="F38">
        <v>3.1429999999999998</v>
      </c>
      <c r="G38">
        <v>1.401</v>
      </c>
      <c r="H38">
        <v>5.4829999999999997</v>
      </c>
      <c r="I38">
        <v>3.343</v>
      </c>
    </row>
    <row r="39" spans="1:10" x14ac:dyDescent="0.25">
      <c r="A39" s="1" t="s">
        <v>5</v>
      </c>
      <c r="B39">
        <v>56.177999999999997</v>
      </c>
      <c r="C39">
        <v>57.457000000000001</v>
      </c>
      <c r="D39">
        <v>2.9209999999999998</v>
      </c>
      <c r="E39">
        <v>1.32</v>
      </c>
      <c r="F39">
        <v>2.5939999999999999</v>
      </c>
      <c r="G39">
        <v>1.7030000000000001</v>
      </c>
      <c r="H39">
        <v>5.2750000000000004</v>
      </c>
      <c r="I39">
        <v>3.5059999999999998</v>
      </c>
    </row>
    <row r="53" spans="1:9" x14ac:dyDescent="0.25">
      <c r="A53" s="16" t="s">
        <v>22</v>
      </c>
      <c r="B53" s="16"/>
      <c r="C53" s="16"/>
      <c r="D53" s="16"/>
      <c r="E53" s="16"/>
      <c r="F53" s="16"/>
      <c r="G53" s="16"/>
    </row>
    <row r="54" spans="1:9" ht="45" x14ac:dyDescent="0.25">
      <c r="A54" s="2"/>
      <c r="B54" s="1" t="s">
        <v>6</v>
      </c>
      <c r="C54" s="3" t="s">
        <v>7</v>
      </c>
      <c r="D54" s="1" t="s">
        <v>8</v>
      </c>
      <c r="E54" s="3" t="s">
        <v>9</v>
      </c>
      <c r="F54" s="1" t="s">
        <v>0</v>
      </c>
      <c r="G54" s="1" t="s">
        <v>10</v>
      </c>
      <c r="H54" s="10" t="s">
        <v>24</v>
      </c>
      <c r="I54" s="11" t="s">
        <v>25</v>
      </c>
    </row>
    <row r="55" spans="1:9" x14ac:dyDescent="0.25">
      <c r="A55" s="1">
        <v>2</v>
      </c>
      <c r="B55">
        <f>AVERAGE(B4:B8)</f>
        <v>8.1584000000000003</v>
      </c>
      <c r="C55">
        <f>AVERAGE(C4:C8)</f>
        <v>8.2326000000000015</v>
      </c>
      <c r="D55">
        <f>AVERAGE(D4:D8)</f>
        <v>4.2061999999999999</v>
      </c>
      <c r="E55">
        <f t="shared" ref="E55:G55" si="0">AVERAGE(E4:E8)</f>
        <v>0.88080000000000003</v>
      </c>
      <c r="F55">
        <f t="shared" si="0"/>
        <v>1.4762</v>
      </c>
      <c r="G55">
        <f t="shared" si="0"/>
        <v>0.98839999999999983</v>
      </c>
      <c r="H55">
        <f>AVERAGE(H4:H8)</f>
        <v>2.508</v>
      </c>
      <c r="I55">
        <f>AVERAGE(I4:I8)</f>
        <v>2.3768000000000002</v>
      </c>
    </row>
    <row r="56" spans="1:9" x14ac:dyDescent="0.25">
      <c r="A56" s="1">
        <v>4</v>
      </c>
      <c r="B56">
        <f>AVERAGE(B14:B18)</f>
        <v>41.362200000000001</v>
      </c>
      <c r="C56">
        <f>AVERAGE(C14:C18)</f>
        <v>39.098399999999998</v>
      </c>
      <c r="D56">
        <f>AVERAGE(D14:D18)</f>
        <v>3.0251999999999999</v>
      </c>
      <c r="E56">
        <f t="shared" ref="E56:G56" si="1">AVERAGE(E14:E18)</f>
        <v>1.2345999999999999</v>
      </c>
      <c r="F56">
        <f t="shared" si="1"/>
        <v>2.0864000000000003</v>
      </c>
      <c r="G56">
        <f t="shared" si="1"/>
        <v>1.0564</v>
      </c>
      <c r="H56">
        <f>AVERAGE(H14:H18)</f>
        <v>3.0064000000000002</v>
      </c>
      <c r="I56">
        <f>AVERAGE(I14:I18)</f>
        <v>3.2231999999999998</v>
      </c>
    </row>
    <row r="57" spans="1:9" x14ac:dyDescent="0.25">
      <c r="A57" s="1">
        <v>8</v>
      </c>
      <c r="B57">
        <f>AVERAGE(B24:B28)</f>
        <v>57.467799999999997</v>
      </c>
      <c r="C57">
        <f>AVERAGE(C24:C28)</f>
        <v>52.676400000000001</v>
      </c>
      <c r="D57">
        <f>AVERAGE(D24:D28)</f>
        <v>3.7552000000000008</v>
      </c>
      <c r="E57">
        <f t="shared" ref="E57:G57" si="2">AVERAGE(E24:E28)</f>
        <v>1.1858</v>
      </c>
      <c r="F57">
        <f t="shared" si="2"/>
        <v>2.1432000000000002</v>
      </c>
      <c r="G57">
        <f t="shared" si="2"/>
        <v>1.2193999999999998</v>
      </c>
      <c r="H57" t="e">
        <f>AVERAGE(H24:H28)</f>
        <v>#DIV/0!</v>
      </c>
      <c r="I57" t="e">
        <f>AVERAGE(I24:I28)</f>
        <v>#DIV/0!</v>
      </c>
    </row>
    <row r="58" spans="1:9" x14ac:dyDescent="0.25">
      <c r="A58" s="1">
        <v>16</v>
      </c>
      <c r="B58">
        <f>AVERAGE(B35:B39)</f>
        <v>56.690800000000003</v>
      </c>
      <c r="C58">
        <f>AVERAGE(C35:C39)</f>
        <v>55.56</v>
      </c>
      <c r="D58">
        <f>AVERAGE(D35:D39)</f>
        <v>4.0629999999999997</v>
      </c>
      <c r="E58">
        <f t="shared" ref="E58:G58" si="3">AVERAGE(E35:E39)</f>
        <v>1.3602000000000001</v>
      </c>
      <c r="F58">
        <f t="shared" si="3"/>
        <v>2.9089999999999998</v>
      </c>
      <c r="G58">
        <f t="shared" si="3"/>
        <v>1.6084000000000001</v>
      </c>
      <c r="H58">
        <f>AVERAGE(H35:H39)</f>
        <v>5.2645999999999997</v>
      </c>
      <c r="I58">
        <f>AVERAGE(I35:I39)</f>
        <v>3.5635999999999997</v>
      </c>
    </row>
  </sheetData>
  <mergeCells count="9">
    <mergeCell ref="A53:G53"/>
    <mergeCell ref="A33:G33"/>
    <mergeCell ref="A1:G1"/>
    <mergeCell ref="A2:G2"/>
    <mergeCell ref="A11:G11"/>
    <mergeCell ref="A12:G12"/>
    <mergeCell ref="A21:G21"/>
    <mergeCell ref="A22:G22"/>
    <mergeCell ref="A32:G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topLeftCell="A28" zoomScale="85" zoomScaleNormal="85" workbookViewId="0">
      <selection activeCell="H42" sqref="H42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24.7109375" customWidth="1"/>
    <col min="4" max="5" width="38.28515625" bestFit="1" customWidth="1"/>
    <col min="6" max="6" width="23.28515625" bestFit="1" customWidth="1"/>
    <col min="7" max="7" width="23.7109375" bestFit="1" customWidth="1"/>
    <col min="8" max="8" width="21.85546875" bestFit="1" customWidth="1"/>
    <col min="9" max="9" width="23.28515625" bestFit="1" customWidth="1"/>
    <col min="10" max="10" width="23.7109375" bestFit="1" customWidth="1"/>
  </cols>
  <sheetData>
    <row r="1" spans="1:10" x14ac:dyDescent="0.25">
      <c r="A1" s="14" t="s">
        <v>17</v>
      </c>
      <c r="B1" s="14"/>
      <c r="C1" s="14"/>
      <c r="D1" s="14"/>
      <c r="E1" s="14"/>
      <c r="F1" s="14"/>
      <c r="G1" s="14"/>
    </row>
    <row r="2" spans="1:10" x14ac:dyDescent="0.25">
      <c r="A2" s="15" t="s">
        <v>14</v>
      </c>
      <c r="B2" s="15"/>
      <c r="C2" s="15"/>
      <c r="D2" s="15"/>
      <c r="E2" s="15"/>
      <c r="F2" s="15"/>
      <c r="G2" s="15"/>
    </row>
    <row r="3" spans="1:10" ht="30" x14ac:dyDescent="0.25">
      <c r="A3" s="2"/>
      <c r="B3" s="1" t="s">
        <v>6</v>
      </c>
      <c r="C3" s="3" t="s">
        <v>7</v>
      </c>
      <c r="D3" s="1" t="s">
        <v>8</v>
      </c>
      <c r="E3" s="3" t="s">
        <v>9</v>
      </c>
      <c r="F3" s="1" t="s">
        <v>0</v>
      </c>
      <c r="G3" s="1" t="s">
        <v>10</v>
      </c>
      <c r="H3" s="10" t="s">
        <v>24</v>
      </c>
      <c r="I3" s="11" t="s">
        <v>32</v>
      </c>
      <c r="J3" s="11" t="s">
        <v>33</v>
      </c>
    </row>
    <row r="4" spans="1:10" x14ac:dyDescent="0.25">
      <c r="A4" s="1" t="s">
        <v>1</v>
      </c>
      <c r="B4">
        <v>0</v>
      </c>
      <c r="C4">
        <v>0</v>
      </c>
      <c r="D4">
        <v>0</v>
      </c>
      <c r="E4">
        <v>0</v>
      </c>
      <c r="F4">
        <v>0.14230000000000001</v>
      </c>
      <c r="G4">
        <v>0.13700000000000001</v>
      </c>
      <c r="H4">
        <v>0</v>
      </c>
      <c r="I4">
        <v>7.4700000000000003E-2</v>
      </c>
      <c r="J4">
        <v>6.08E-2</v>
      </c>
    </row>
    <row r="5" spans="1:10" x14ac:dyDescent="0.25">
      <c r="A5" s="1" t="s">
        <v>2</v>
      </c>
      <c r="B5">
        <v>0</v>
      </c>
      <c r="C5">
        <v>0</v>
      </c>
      <c r="D5">
        <v>0</v>
      </c>
      <c r="F5">
        <v>0.14699999999999999</v>
      </c>
      <c r="G5">
        <v>0.13100000000000001</v>
      </c>
      <c r="H5">
        <v>0</v>
      </c>
      <c r="I5">
        <v>7.4700000000000003E-2</v>
      </c>
      <c r="J5">
        <v>7.4700000000000003E-2</v>
      </c>
    </row>
    <row r="6" spans="1:10" x14ac:dyDescent="0.25">
      <c r="A6" s="1" t="s">
        <v>3</v>
      </c>
      <c r="B6">
        <v>0</v>
      </c>
      <c r="C6">
        <v>0</v>
      </c>
      <c r="D6">
        <v>0</v>
      </c>
      <c r="F6">
        <v>0.13850000000000001</v>
      </c>
      <c r="G6">
        <v>0.124</v>
      </c>
      <c r="H6">
        <v>0</v>
      </c>
      <c r="I6">
        <v>7.4700000000000003E-2</v>
      </c>
      <c r="J6">
        <v>7.4700000000000003E-2</v>
      </c>
    </row>
    <row r="7" spans="1:10" x14ac:dyDescent="0.25">
      <c r="A7" s="1" t="s">
        <v>4</v>
      </c>
      <c r="B7">
        <v>0</v>
      </c>
      <c r="C7">
        <v>0</v>
      </c>
      <c r="D7">
        <v>0</v>
      </c>
      <c r="F7">
        <v>0.13900000000000001</v>
      </c>
      <c r="G7">
        <v>0.127</v>
      </c>
      <c r="H7">
        <v>0</v>
      </c>
      <c r="I7">
        <v>9.9959999999999993E-2</v>
      </c>
      <c r="J7">
        <v>6.08E-2</v>
      </c>
    </row>
    <row r="8" spans="1:10" x14ac:dyDescent="0.25">
      <c r="A8" s="1" t="s">
        <v>5</v>
      </c>
      <c r="B8">
        <v>0</v>
      </c>
      <c r="C8">
        <v>0</v>
      </c>
      <c r="D8">
        <v>0</v>
      </c>
      <c r="F8">
        <v>0.14219999999999999</v>
      </c>
      <c r="G8">
        <v>0.125</v>
      </c>
      <c r="H8">
        <v>0</v>
      </c>
      <c r="I8">
        <v>7.4700000000000003E-2</v>
      </c>
      <c r="J8">
        <v>7.4700000000000003E-2</v>
      </c>
    </row>
    <row r="11" spans="1:10" x14ac:dyDescent="0.25">
      <c r="A11" s="19" t="s">
        <v>12</v>
      </c>
      <c r="B11" s="19"/>
      <c r="C11" s="19"/>
    </row>
    <row r="12" spans="1:10" x14ac:dyDescent="0.25">
      <c r="B12" s="1" t="s">
        <v>10</v>
      </c>
      <c r="C12" s="1" t="s">
        <v>0</v>
      </c>
    </row>
    <row r="13" spans="1:10" x14ac:dyDescent="0.25">
      <c r="A13" s="1" t="s">
        <v>1</v>
      </c>
      <c r="B13" s="4">
        <v>1</v>
      </c>
      <c r="C13" s="4">
        <v>1</v>
      </c>
    </row>
    <row r="14" spans="1:10" x14ac:dyDescent="0.25">
      <c r="A14" s="1" t="s">
        <v>2</v>
      </c>
      <c r="B14" s="4">
        <v>1</v>
      </c>
      <c r="C14" s="4">
        <v>1</v>
      </c>
    </row>
    <row r="15" spans="1:10" x14ac:dyDescent="0.25">
      <c r="A15" s="1" t="s">
        <v>3</v>
      </c>
      <c r="B15" s="4">
        <v>0.75</v>
      </c>
      <c r="C15" s="4">
        <v>1</v>
      </c>
    </row>
    <row r="16" spans="1:10" x14ac:dyDescent="0.25">
      <c r="A16" s="1" t="s">
        <v>4</v>
      </c>
      <c r="B16" s="4">
        <v>1</v>
      </c>
      <c r="C16" s="4">
        <v>1</v>
      </c>
    </row>
    <row r="17" spans="1:10" x14ac:dyDescent="0.25">
      <c r="A17" s="1" t="s">
        <v>5</v>
      </c>
      <c r="B17" s="4">
        <v>1</v>
      </c>
      <c r="C17" s="4">
        <v>1</v>
      </c>
    </row>
    <row r="19" spans="1:10" ht="33" customHeight="1" x14ac:dyDescent="0.25">
      <c r="A19" s="18" t="s">
        <v>13</v>
      </c>
      <c r="B19" s="18"/>
      <c r="C19" s="18"/>
    </row>
    <row r="20" spans="1:10" x14ac:dyDescent="0.25">
      <c r="A20" s="8"/>
      <c r="B20" s="1" t="s">
        <v>10</v>
      </c>
      <c r="C20" s="1" t="s">
        <v>0</v>
      </c>
      <c r="D20" s="10" t="s">
        <v>24</v>
      </c>
      <c r="E20" s="11" t="s">
        <v>32</v>
      </c>
      <c r="F20" s="11" t="s">
        <v>33</v>
      </c>
    </row>
    <row r="21" spans="1:10" x14ac:dyDescent="0.25">
      <c r="A21" s="1" t="s">
        <v>1</v>
      </c>
      <c r="B21" s="5">
        <v>0.13988999999999999</v>
      </c>
      <c r="C21" s="5">
        <v>0.14484</v>
      </c>
      <c r="D21">
        <v>0</v>
      </c>
      <c r="E21" s="5">
        <v>7.5999999999999998E-2</v>
      </c>
      <c r="F21" s="5">
        <v>6.1920000000000003E-2</v>
      </c>
    </row>
    <row r="22" spans="1:10" x14ac:dyDescent="0.25">
      <c r="A22" s="1" t="s">
        <v>2</v>
      </c>
      <c r="B22" s="5">
        <v>0.13389000000000001</v>
      </c>
      <c r="C22" s="5">
        <v>0.14967</v>
      </c>
      <c r="D22">
        <v>0</v>
      </c>
      <c r="E22" s="5">
        <v>7.5999999999999998E-2</v>
      </c>
      <c r="F22" s="5">
        <v>7.5999999999999998E-2</v>
      </c>
    </row>
    <row r="23" spans="1:10" x14ac:dyDescent="0.25">
      <c r="A23" s="1" t="s">
        <v>3</v>
      </c>
      <c r="B23" s="5">
        <v>0.14093</v>
      </c>
      <c r="C23" s="5">
        <v>0.14093</v>
      </c>
      <c r="D23">
        <v>0</v>
      </c>
      <c r="E23" s="5">
        <v>7.5999999999999998E-2</v>
      </c>
      <c r="F23" s="5">
        <v>7.5999999999999998E-2</v>
      </c>
    </row>
    <row r="24" spans="1:10" x14ac:dyDescent="0.25">
      <c r="A24" s="1" t="s">
        <v>4</v>
      </c>
      <c r="B24" s="5">
        <v>0.13011</v>
      </c>
      <c r="C24" s="5">
        <v>0.1421</v>
      </c>
      <c r="D24">
        <v>0</v>
      </c>
      <c r="E24" s="5">
        <v>0.1017</v>
      </c>
      <c r="F24" s="5">
        <v>6.1920000000000003E-2</v>
      </c>
    </row>
    <row r="25" spans="1:10" x14ac:dyDescent="0.25">
      <c r="A25" s="1" t="s">
        <v>5</v>
      </c>
      <c r="B25" s="5">
        <v>0.12767000000000001</v>
      </c>
      <c r="C25" s="5">
        <v>0.14471000000000001</v>
      </c>
      <c r="D25">
        <v>0</v>
      </c>
      <c r="E25" s="5">
        <v>7.5999999999999998E-2</v>
      </c>
      <c r="F25" s="5">
        <v>7.5999999999999998E-2</v>
      </c>
    </row>
    <row r="29" spans="1:10" x14ac:dyDescent="0.25">
      <c r="A29" s="14" t="s">
        <v>18</v>
      </c>
      <c r="B29" s="14"/>
      <c r="C29" s="14"/>
      <c r="D29" s="14"/>
      <c r="E29" s="14"/>
      <c r="F29" s="14"/>
      <c r="G29" s="14"/>
    </row>
    <row r="30" spans="1:10" x14ac:dyDescent="0.25">
      <c r="A30" s="15" t="s">
        <v>14</v>
      </c>
      <c r="B30" s="15"/>
      <c r="C30" s="15"/>
      <c r="D30" s="15"/>
      <c r="E30" s="15"/>
      <c r="F30" s="15"/>
      <c r="G30" s="15"/>
    </row>
    <row r="31" spans="1:10" ht="30" x14ac:dyDescent="0.25">
      <c r="A31" s="2"/>
      <c r="B31" s="1" t="s">
        <v>6</v>
      </c>
      <c r="C31" s="3" t="s">
        <v>7</v>
      </c>
      <c r="D31" s="1" t="s">
        <v>8</v>
      </c>
      <c r="E31" s="3" t="s">
        <v>9</v>
      </c>
      <c r="F31" s="1" t="s">
        <v>0</v>
      </c>
      <c r="G31" s="1" t="s">
        <v>10</v>
      </c>
      <c r="H31" s="10" t="s">
        <v>24</v>
      </c>
      <c r="I31" s="11" t="s">
        <v>32</v>
      </c>
      <c r="J31" s="11" t="s">
        <v>33</v>
      </c>
    </row>
    <row r="32" spans="1:10" x14ac:dyDescent="0.25">
      <c r="A32" s="1" t="s">
        <v>1</v>
      </c>
      <c r="B32">
        <v>4.2900000000000001E-2</v>
      </c>
      <c r="C32">
        <v>0</v>
      </c>
      <c r="D32">
        <v>0</v>
      </c>
      <c r="E32">
        <v>0</v>
      </c>
      <c r="F32">
        <v>0.25700000000000001</v>
      </c>
      <c r="G32">
        <v>0.26400000000000001</v>
      </c>
      <c r="H32">
        <v>0</v>
      </c>
      <c r="I32">
        <v>9.9959999999999993E-2</v>
      </c>
      <c r="J32">
        <v>0.2636</v>
      </c>
    </row>
    <row r="33" spans="1:10" x14ac:dyDescent="0.25">
      <c r="A33" s="1" t="s">
        <v>2</v>
      </c>
      <c r="B33">
        <v>4.8000000000000001E-2</v>
      </c>
      <c r="C33">
        <v>0</v>
      </c>
      <c r="D33">
        <v>0</v>
      </c>
      <c r="E33">
        <v>0</v>
      </c>
      <c r="F33">
        <v>0.25900000000000001</v>
      </c>
      <c r="G33">
        <v>0.245</v>
      </c>
      <c r="H33">
        <v>0</v>
      </c>
      <c r="I33">
        <v>2.6100000000000002E-2</v>
      </c>
      <c r="J33">
        <v>0.21940000000000001</v>
      </c>
    </row>
    <row r="34" spans="1:10" x14ac:dyDescent="0.25">
      <c r="A34" s="1" t="s">
        <v>3</v>
      </c>
      <c r="B34">
        <v>4.8300000000000003E-2</v>
      </c>
      <c r="C34">
        <v>0</v>
      </c>
      <c r="D34">
        <v>0</v>
      </c>
      <c r="E34">
        <v>0</v>
      </c>
      <c r="F34">
        <v>0.25800000000000001</v>
      </c>
      <c r="G34">
        <v>0.24099999999999999</v>
      </c>
      <c r="H34">
        <v>0</v>
      </c>
      <c r="I34">
        <v>7.4999999999999997E-2</v>
      </c>
      <c r="J34">
        <v>0.3216</v>
      </c>
    </row>
    <row r="35" spans="1:10" x14ac:dyDescent="0.25">
      <c r="A35" s="1" t="s">
        <v>4</v>
      </c>
      <c r="B35">
        <v>0</v>
      </c>
      <c r="C35">
        <v>0</v>
      </c>
      <c r="D35">
        <v>0</v>
      </c>
      <c r="E35">
        <v>0</v>
      </c>
      <c r="F35">
        <v>0.26100000000000001</v>
      </c>
      <c r="G35">
        <v>0.26700000000000002</v>
      </c>
      <c r="H35">
        <v>0</v>
      </c>
      <c r="I35">
        <v>9.3899999999999997E-2</v>
      </c>
      <c r="J35">
        <v>0.30430000000000001</v>
      </c>
    </row>
    <row r="36" spans="1:10" x14ac:dyDescent="0.25">
      <c r="A36" s="1" t="s">
        <v>5</v>
      </c>
      <c r="B36">
        <v>0</v>
      </c>
      <c r="C36">
        <v>0</v>
      </c>
      <c r="D36">
        <v>0</v>
      </c>
      <c r="E36">
        <v>0</v>
      </c>
      <c r="F36">
        <v>0.253</v>
      </c>
      <c r="G36">
        <v>0.26300000000000001</v>
      </c>
      <c r="H36">
        <v>0</v>
      </c>
      <c r="I36">
        <v>9.9900000000000003E-2</v>
      </c>
      <c r="J36">
        <v>0.2</v>
      </c>
    </row>
    <row r="38" spans="1:10" x14ac:dyDescent="0.25">
      <c r="A38" s="18" t="s">
        <v>13</v>
      </c>
      <c r="B38" s="18"/>
      <c r="C38" s="18"/>
    </row>
    <row r="39" spans="1:10" x14ac:dyDescent="0.25">
      <c r="A39" s="8"/>
      <c r="B39" s="1" t="s">
        <v>10</v>
      </c>
      <c r="C39" s="1" t="s">
        <v>0</v>
      </c>
      <c r="D39" s="1" t="s">
        <v>6</v>
      </c>
      <c r="E39" s="10" t="s">
        <v>24</v>
      </c>
      <c r="F39" s="11" t="s">
        <v>32</v>
      </c>
      <c r="G39" s="11" t="s">
        <v>33</v>
      </c>
    </row>
    <row r="40" spans="1:10" x14ac:dyDescent="0.25">
      <c r="A40" s="1" t="s">
        <v>1</v>
      </c>
      <c r="B40" s="5">
        <v>0.28854000000000002</v>
      </c>
      <c r="C40" s="5">
        <v>0.28538000000000002</v>
      </c>
      <c r="D40" s="5">
        <v>6.9510000000000002E-2</v>
      </c>
      <c r="E40" s="5">
        <v>0</v>
      </c>
      <c r="F40" s="5">
        <v>0.1152</v>
      </c>
      <c r="G40" s="5">
        <v>0.28101999999999999</v>
      </c>
    </row>
    <row r="41" spans="1:10" x14ac:dyDescent="0.25">
      <c r="A41" s="1" t="s">
        <v>2</v>
      </c>
      <c r="B41" s="5">
        <v>0.26740000000000003</v>
      </c>
      <c r="C41" s="5">
        <v>0.28585500000000003</v>
      </c>
      <c r="D41" s="5">
        <v>7.7810000000000004E-2</v>
      </c>
      <c r="E41" s="5">
        <v>0</v>
      </c>
      <c r="F41" s="5">
        <v>2.6669999999999999E-2</v>
      </c>
      <c r="G41" s="5">
        <v>0.23186999999999999</v>
      </c>
    </row>
    <row r="42" spans="1:10" x14ac:dyDescent="0.25">
      <c r="A42" s="1" t="s">
        <v>3</v>
      </c>
      <c r="B42" s="5">
        <v>0.26346000000000003</v>
      </c>
      <c r="C42" s="5">
        <v>0.28932999999999998</v>
      </c>
      <c r="D42" s="5">
        <v>8.5900000000000004E-2</v>
      </c>
      <c r="E42" s="5">
        <v>0</v>
      </c>
      <c r="F42" s="5">
        <v>7.9829999999999998E-2</v>
      </c>
      <c r="G42" s="5">
        <v>0.35732000000000003</v>
      </c>
    </row>
    <row r="43" spans="1:10" x14ac:dyDescent="0.25">
      <c r="A43" s="1" t="s">
        <v>4</v>
      </c>
      <c r="B43" s="5">
        <v>0.28989999999999999</v>
      </c>
      <c r="C43" s="5">
        <v>0.28589999999999999</v>
      </c>
      <c r="D43" s="5">
        <v>0</v>
      </c>
      <c r="E43" s="5">
        <v>0</v>
      </c>
      <c r="F43" s="5">
        <v>9.9860000000000004E-2</v>
      </c>
      <c r="G43" s="5">
        <v>0.33110000000000001</v>
      </c>
    </row>
    <row r="44" spans="1:10" x14ac:dyDescent="0.25">
      <c r="A44" s="1" t="s">
        <v>5</v>
      </c>
      <c r="B44" s="5">
        <v>0.28688000000000002</v>
      </c>
      <c r="C44" s="5">
        <v>0.27628999999999998</v>
      </c>
      <c r="D44" s="5">
        <v>0</v>
      </c>
      <c r="E44" s="5">
        <v>0</v>
      </c>
      <c r="F44" s="5">
        <v>0.12235</v>
      </c>
      <c r="G44" s="5">
        <v>0.25290000000000001</v>
      </c>
    </row>
    <row r="47" spans="1:10" x14ac:dyDescent="0.25">
      <c r="A47" s="14" t="s">
        <v>26</v>
      </c>
      <c r="B47" s="14"/>
      <c r="C47" s="14"/>
      <c r="D47" s="14"/>
      <c r="E47" s="14"/>
      <c r="F47" s="14"/>
      <c r="G47" s="14"/>
    </row>
    <row r="48" spans="1:10" x14ac:dyDescent="0.25">
      <c r="A48" s="15" t="s">
        <v>14</v>
      </c>
      <c r="B48" s="15"/>
      <c r="C48" s="15"/>
      <c r="D48" s="15"/>
      <c r="E48" s="15"/>
      <c r="F48" s="15"/>
      <c r="G48" s="15"/>
    </row>
    <row r="49" spans="1:10" ht="30" x14ac:dyDescent="0.25">
      <c r="A49" s="2"/>
      <c r="B49" s="1" t="s">
        <v>6</v>
      </c>
      <c r="C49" s="3" t="s">
        <v>7</v>
      </c>
      <c r="D49" s="1" t="s">
        <v>8</v>
      </c>
      <c r="E49" s="3" t="s">
        <v>9</v>
      </c>
      <c r="F49" s="1" t="s">
        <v>0</v>
      </c>
      <c r="G49" s="1" t="s">
        <v>10</v>
      </c>
      <c r="H49" s="10" t="s">
        <v>24</v>
      </c>
      <c r="I49" s="11" t="s">
        <v>32</v>
      </c>
      <c r="J49" s="11" t="s">
        <v>33</v>
      </c>
    </row>
    <row r="50" spans="1:10" x14ac:dyDescent="0.25">
      <c r="A50" s="1" t="s">
        <v>1</v>
      </c>
      <c r="B50">
        <v>4.7199999999999999E-2</v>
      </c>
      <c r="C50">
        <v>0</v>
      </c>
      <c r="F50">
        <v>0.49399999999999999</v>
      </c>
      <c r="G50">
        <v>0.49</v>
      </c>
      <c r="H50">
        <v>0</v>
      </c>
      <c r="I50">
        <v>3.3500000000000002E-2</v>
      </c>
    </row>
    <row r="51" spans="1:10" x14ac:dyDescent="0.25">
      <c r="A51" s="1" t="s">
        <v>2</v>
      </c>
      <c r="B51">
        <v>1.409E-2</v>
      </c>
      <c r="F51">
        <v>0.505</v>
      </c>
      <c r="G51">
        <v>0.49</v>
      </c>
      <c r="H51">
        <v>0</v>
      </c>
      <c r="I51">
        <v>3.9199999999999999E-2</v>
      </c>
    </row>
    <row r="52" spans="1:10" x14ac:dyDescent="0.25">
      <c r="A52" s="1" t="s">
        <v>3</v>
      </c>
      <c r="B52">
        <v>7.2099999999999997E-2</v>
      </c>
      <c r="F52">
        <v>0.49399999999999999</v>
      </c>
      <c r="G52">
        <v>0.50800000000000001</v>
      </c>
      <c r="H52">
        <v>0</v>
      </c>
      <c r="I52">
        <v>3.3700000000000001E-2</v>
      </c>
    </row>
    <row r="53" spans="1:10" x14ac:dyDescent="0.25">
      <c r="A53" s="1" t="s">
        <v>4</v>
      </c>
      <c r="B53">
        <v>4.7600000000000003E-2</v>
      </c>
      <c r="F53">
        <v>0.497</v>
      </c>
      <c r="G53">
        <v>0.48799999999999999</v>
      </c>
      <c r="H53">
        <v>0</v>
      </c>
      <c r="I53">
        <v>2.98E-2</v>
      </c>
    </row>
    <row r="54" spans="1:10" x14ac:dyDescent="0.25">
      <c r="A54" s="1" t="s">
        <v>5</v>
      </c>
      <c r="B54">
        <v>6.8000000000000005E-2</v>
      </c>
      <c r="F54">
        <v>0.496</v>
      </c>
      <c r="G54">
        <v>0.501</v>
      </c>
      <c r="H54">
        <v>0</v>
      </c>
      <c r="I54">
        <v>3.6600000000000001E-2</v>
      </c>
    </row>
    <row r="56" spans="1:10" x14ac:dyDescent="0.25">
      <c r="A56" s="18" t="s">
        <v>13</v>
      </c>
      <c r="B56" s="18"/>
      <c r="C56" s="18"/>
    </row>
    <row r="57" spans="1:10" x14ac:dyDescent="0.25">
      <c r="A57" s="8"/>
      <c r="B57" s="1" t="s">
        <v>10</v>
      </c>
      <c r="C57" s="1" t="s">
        <v>0</v>
      </c>
      <c r="D57" s="1" t="s">
        <v>6</v>
      </c>
      <c r="E57" s="10" t="s">
        <v>24</v>
      </c>
      <c r="F57" s="11" t="s">
        <v>32</v>
      </c>
      <c r="G57" s="11" t="s">
        <v>33</v>
      </c>
    </row>
    <row r="58" spans="1:10" x14ac:dyDescent="0.25">
      <c r="A58" s="1" t="s">
        <v>1</v>
      </c>
      <c r="B58" s="5">
        <v>0.69238999999999995</v>
      </c>
      <c r="C58" s="5">
        <v>0.69638999999999995</v>
      </c>
      <c r="D58" s="5">
        <v>7.0273000000000002E-2</v>
      </c>
      <c r="E58" s="5">
        <v>0</v>
      </c>
      <c r="F58" s="5">
        <v>2.6009999999999998E-2</v>
      </c>
    </row>
    <row r="59" spans="1:10" x14ac:dyDescent="0.25">
      <c r="A59" s="1" t="s">
        <v>2</v>
      </c>
      <c r="B59" s="5">
        <v>0.68925999999999998</v>
      </c>
      <c r="C59" s="5">
        <v>0.71289999999999998</v>
      </c>
      <c r="D59" s="5">
        <v>4.555E-2</v>
      </c>
      <c r="E59" s="5">
        <v>0</v>
      </c>
      <c r="F59" s="5">
        <v>4.027E-2</v>
      </c>
    </row>
    <row r="60" spans="1:10" x14ac:dyDescent="0.25">
      <c r="A60" s="1" t="s">
        <v>3</v>
      </c>
      <c r="B60" s="5">
        <v>0.71136999999999995</v>
      </c>
      <c r="C60" s="5">
        <v>0.69982</v>
      </c>
      <c r="D60" s="5">
        <v>8.3080000000000001E-2</v>
      </c>
      <c r="E60" s="5">
        <v>0</v>
      </c>
      <c r="F60" s="5">
        <v>2.7080000000000003E-2</v>
      </c>
    </row>
    <row r="61" spans="1:10" x14ac:dyDescent="0.25">
      <c r="A61" s="1" t="s">
        <v>4</v>
      </c>
      <c r="B61" s="5">
        <v>0.68679000000000001</v>
      </c>
      <c r="C61" s="5">
        <v>0.69926999999999995</v>
      </c>
      <c r="D61" s="5">
        <v>7.0930000000000007E-2</v>
      </c>
      <c r="E61" s="5">
        <v>0</v>
      </c>
      <c r="F61" s="5">
        <v>2.3740000000000001E-2</v>
      </c>
    </row>
    <row r="62" spans="1:10" x14ac:dyDescent="0.25">
      <c r="A62" s="1" t="s">
        <v>5</v>
      </c>
      <c r="B62" s="5">
        <v>0.71287999999999996</v>
      </c>
      <c r="C62" s="5">
        <v>0.70445999999999998</v>
      </c>
      <c r="D62" s="5">
        <v>7.0849999999999996E-2</v>
      </c>
      <c r="E62" s="5">
        <v>0</v>
      </c>
      <c r="F62" s="5">
        <v>3.0540999999999999E-2</v>
      </c>
    </row>
    <row r="66" spans="1:10" x14ac:dyDescent="0.25">
      <c r="A66" s="14" t="s">
        <v>21</v>
      </c>
      <c r="B66" s="14"/>
      <c r="C66" s="14"/>
      <c r="D66" s="14"/>
      <c r="E66" s="14"/>
      <c r="F66" s="14"/>
      <c r="G66" s="14"/>
    </row>
    <row r="67" spans="1:10" x14ac:dyDescent="0.25">
      <c r="A67" s="15" t="s">
        <v>14</v>
      </c>
      <c r="B67" s="15"/>
      <c r="C67" s="15"/>
      <c r="D67" s="15"/>
      <c r="E67" s="15"/>
      <c r="F67" s="15"/>
      <c r="G67" s="15"/>
    </row>
    <row r="68" spans="1:10" ht="30" x14ac:dyDescent="0.25">
      <c r="A68" s="2"/>
      <c r="B68" s="1" t="s">
        <v>6</v>
      </c>
      <c r="C68" s="3" t="s">
        <v>7</v>
      </c>
      <c r="D68" s="1" t="s">
        <v>8</v>
      </c>
      <c r="E68" s="3" t="s">
        <v>9</v>
      </c>
      <c r="F68" s="1" t="s">
        <v>0</v>
      </c>
      <c r="G68" s="1" t="s">
        <v>10</v>
      </c>
      <c r="H68" s="10" t="s">
        <v>24</v>
      </c>
      <c r="I68" s="11" t="s">
        <v>32</v>
      </c>
      <c r="J68" s="11" t="s">
        <v>33</v>
      </c>
    </row>
    <row r="69" spans="1:10" x14ac:dyDescent="0.25">
      <c r="A69" s="1" t="s">
        <v>1</v>
      </c>
      <c r="B69">
        <v>9.5699999999999993E-2</v>
      </c>
      <c r="C69">
        <v>0</v>
      </c>
      <c r="D69">
        <v>0</v>
      </c>
      <c r="E69">
        <v>0</v>
      </c>
      <c r="F69">
        <v>0.85699999999999998</v>
      </c>
      <c r="G69">
        <v>0.86699999999999999</v>
      </c>
      <c r="H69">
        <v>0</v>
      </c>
      <c r="I69">
        <v>3.4209999999999997E-2</v>
      </c>
    </row>
    <row r="70" spans="1:10" x14ac:dyDescent="0.25">
      <c r="A70" s="1" t="s">
        <v>2</v>
      </c>
      <c r="B70">
        <v>0.11</v>
      </c>
      <c r="C70">
        <v>0</v>
      </c>
      <c r="D70">
        <v>0</v>
      </c>
      <c r="E70">
        <v>0</v>
      </c>
      <c r="F70">
        <v>0.86099999999999999</v>
      </c>
      <c r="G70">
        <v>0.86</v>
      </c>
      <c r="H70">
        <v>0</v>
      </c>
      <c r="I70">
        <v>0.32500000000000001</v>
      </c>
    </row>
    <row r="71" spans="1:10" x14ac:dyDescent="0.25">
      <c r="A71" s="1" t="s">
        <v>3</v>
      </c>
      <c r="B71">
        <v>6.3E-2</v>
      </c>
      <c r="C71">
        <v>0</v>
      </c>
      <c r="D71">
        <v>0</v>
      </c>
      <c r="E71">
        <v>0</v>
      </c>
      <c r="F71">
        <v>0.86</v>
      </c>
      <c r="G71">
        <v>0.86199999999999999</v>
      </c>
      <c r="H71">
        <v>0</v>
      </c>
      <c r="I71">
        <v>2.7199999999999998E-2</v>
      </c>
    </row>
    <row r="72" spans="1:10" x14ac:dyDescent="0.25">
      <c r="A72" s="1" t="s">
        <v>4</v>
      </c>
      <c r="B72">
        <v>7.0000000000000007E-2</v>
      </c>
      <c r="C72">
        <v>0</v>
      </c>
      <c r="D72">
        <v>0</v>
      </c>
      <c r="E72">
        <v>0</v>
      </c>
      <c r="F72">
        <v>0.85799999999999998</v>
      </c>
      <c r="G72">
        <v>0.86599999999999999</v>
      </c>
      <c r="H72">
        <v>0</v>
      </c>
      <c r="I72">
        <v>3.2099999999999997E-2</v>
      </c>
    </row>
    <row r="73" spans="1:10" x14ac:dyDescent="0.25">
      <c r="A73" s="1" t="s">
        <v>5</v>
      </c>
      <c r="B73">
        <v>0.215</v>
      </c>
      <c r="C73">
        <v>0</v>
      </c>
      <c r="D73">
        <v>0</v>
      </c>
      <c r="E73">
        <v>0</v>
      </c>
      <c r="F73">
        <v>0.86099999999999999</v>
      </c>
      <c r="G73">
        <v>0.87560000000000004</v>
      </c>
      <c r="H73">
        <v>0</v>
      </c>
      <c r="I73">
        <v>3.4799999999999998E-2</v>
      </c>
    </row>
    <row r="75" spans="1:10" x14ac:dyDescent="0.25">
      <c r="A75" s="18" t="s">
        <v>13</v>
      </c>
      <c r="B75" s="18"/>
      <c r="C75" s="18"/>
    </row>
    <row r="76" spans="1:10" x14ac:dyDescent="0.25">
      <c r="A76" s="8"/>
      <c r="B76" s="1" t="s">
        <v>10</v>
      </c>
      <c r="C76" s="1" t="s">
        <v>0</v>
      </c>
      <c r="D76" s="1" t="s">
        <v>6</v>
      </c>
      <c r="E76" s="10" t="s">
        <v>24</v>
      </c>
      <c r="F76" s="11" t="s">
        <v>32</v>
      </c>
      <c r="G76" s="11" t="s">
        <v>33</v>
      </c>
    </row>
    <row r="77" spans="1:10" x14ac:dyDescent="0.25">
      <c r="A77" s="1" t="s">
        <v>1</v>
      </c>
      <c r="B77" s="5">
        <v>2.9926300000000001</v>
      </c>
      <c r="C77" s="5">
        <v>2.9698099999999998</v>
      </c>
      <c r="D77" s="5">
        <v>0.47893999999999998</v>
      </c>
      <c r="E77" s="5">
        <v>0</v>
      </c>
      <c r="F77" s="5">
        <v>4.1277000000000001E-2</v>
      </c>
    </row>
    <row r="78" spans="1:10" x14ac:dyDescent="0.25">
      <c r="A78" s="1" t="s">
        <v>2</v>
      </c>
      <c r="B78" s="5">
        <v>2.9826000000000001</v>
      </c>
      <c r="C78" s="5">
        <v>2.9761600000000001</v>
      </c>
      <c r="D78" s="5">
        <v>0.43214999999999998</v>
      </c>
      <c r="E78" s="5">
        <v>0</v>
      </c>
      <c r="F78" s="5">
        <v>4.3520000000000003E-2</v>
      </c>
    </row>
    <row r="79" spans="1:10" x14ac:dyDescent="0.25">
      <c r="A79" s="1" t="s">
        <v>3</v>
      </c>
      <c r="B79" s="5">
        <v>2.9972400000000001</v>
      </c>
      <c r="C79" s="5">
        <v>2.9929999999999999</v>
      </c>
      <c r="D79" s="5">
        <v>0.25155</v>
      </c>
      <c r="E79" s="5">
        <v>0</v>
      </c>
      <c r="F79" s="5">
        <v>3.1890000000000002E-2</v>
      </c>
    </row>
    <row r="80" spans="1:10" x14ac:dyDescent="0.25">
      <c r="A80" s="1" t="s">
        <v>4</v>
      </c>
      <c r="B80" s="5">
        <v>2.99411</v>
      </c>
      <c r="C80" s="5">
        <v>2.95648</v>
      </c>
      <c r="D80" s="5">
        <v>0.46134999999999998</v>
      </c>
      <c r="E80" s="5">
        <v>0</v>
      </c>
      <c r="F80" s="5">
        <v>2.4369999999999999E-2</v>
      </c>
    </row>
    <row r="81" spans="1:7" x14ac:dyDescent="0.25">
      <c r="A81" s="1" t="s">
        <v>5</v>
      </c>
      <c r="B81" s="5">
        <v>3.0287799999999998</v>
      </c>
      <c r="C81" s="5">
        <v>2.97424</v>
      </c>
      <c r="D81" s="5">
        <v>0.63741999999999999</v>
      </c>
      <c r="E81" s="5">
        <v>0</v>
      </c>
      <c r="F81" s="5">
        <v>4.4150000000000002E-2</v>
      </c>
    </row>
    <row r="82" spans="1:7" x14ac:dyDescent="0.25">
      <c r="E82" s="5"/>
    </row>
    <row r="83" spans="1:7" x14ac:dyDescent="0.25">
      <c r="E83" s="5"/>
    </row>
    <row r="84" spans="1:7" x14ac:dyDescent="0.25">
      <c r="E84" s="5"/>
    </row>
    <row r="86" spans="1:7" x14ac:dyDescent="0.25">
      <c r="A86" s="16" t="s">
        <v>23</v>
      </c>
      <c r="B86" s="16"/>
      <c r="C86" s="16"/>
      <c r="D86" s="16"/>
      <c r="E86" s="16"/>
      <c r="F86" s="16"/>
      <c r="G86" s="16"/>
    </row>
    <row r="87" spans="1:7" x14ac:dyDescent="0.25">
      <c r="A87" s="15" t="s">
        <v>11</v>
      </c>
      <c r="B87" s="15"/>
      <c r="C87" s="15"/>
      <c r="D87" s="15"/>
      <c r="E87" s="15"/>
      <c r="F87" s="15"/>
      <c r="G87" s="15"/>
    </row>
    <row r="88" spans="1:7" x14ac:dyDescent="0.25">
      <c r="A88" s="9"/>
      <c r="B88" s="1" t="s">
        <v>0</v>
      </c>
      <c r="C88" s="1" t="s">
        <v>10</v>
      </c>
      <c r="D88" s="10" t="s">
        <v>28</v>
      </c>
      <c r="E88" s="11" t="s">
        <v>27</v>
      </c>
    </row>
    <row r="89" spans="1:7" x14ac:dyDescent="0.25">
      <c r="A89" s="1">
        <v>2</v>
      </c>
      <c r="B89" s="12">
        <f>AVERAGE(F4:F8)</f>
        <v>0.14179999999999998</v>
      </c>
      <c r="C89" s="12">
        <f>AVERAGE(G4:G8)</f>
        <v>0.1288</v>
      </c>
      <c r="D89" s="12">
        <v>0</v>
      </c>
      <c r="E89" s="12">
        <f>AVERAGE(I4:I8)</f>
        <v>7.9752000000000003E-2</v>
      </c>
    </row>
    <row r="90" spans="1:7" x14ac:dyDescent="0.25">
      <c r="A90" s="1">
        <v>4</v>
      </c>
      <c r="B90" s="12">
        <f>AVERAGE(F32:F36)</f>
        <v>0.25760000000000005</v>
      </c>
      <c r="C90" s="12">
        <f>AVERAGE(G32:G36)</f>
        <v>0.25599999999999995</v>
      </c>
      <c r="D90" s="12">
        <v>0</v>
      </c>
      <c r="E90" s="12">
        <f>AVERAGE(I32:I36)</f>
        <v>7.8972000000000001E-2</v>
      </c>
    </row>
    <row r="91" spans="1:7" x14ac:dyDescent="0.25">
      <c r="A91" s="1">
        <v>8</v>
      </c>
      <c r="B91" s="12">
        <f>AVERAGE(F50:F54)</f>
        <v>0.49719999999999998</v>
      </c>
      <c r="C91" s="12">
        <f>AVERAGE(G50:G54)</f>
        <v>0.49539999999999995</v>
      </c>
      <c r="D91" s="12">
        <v>0</v>
      </c>
      <c r="E91" s="12">
        <f>AVERAGE(I50:I54)</f>
        <v>3.4559999999999994E-2</v>
      </c>
    </row>
    <row r="92" spans="1:7" x14ac:dyDescent="0.25">
      <c r="A92" s="1">
        <v>16</v>
      </c>
      <c r="B92" s="12">
        <f>AVERAGE(F69:F73)</f>
        <v>0.85939999999999994</v>
      </c>
      <c r="C92" s="12">
        <f>AVERAGE(G69:G73)</f>
        <v>0.86612000000000011</v>
      </c>
      <c r="D92" s="12">
        <v>0</v>
      </c>
      <c r="E92" s="12">
        <f>AVERAGE(I69:I73)</f>
        <v>9.0662000000000006E-2</v>
      </c>
    </row>
    <row r="94" spans="1:7" ht="16.5" customHeight="1" x14ac:dyDescent="0.25"/>
    <row r="95" spans="1:7" x14ac:dyDescent="0.25">
      <c r="A95" s="17" t="s">
        <v>13</v>
      </c>
      <c r="B95" s="17"/>
      <c r="C95" s="17"/>
    </row>
    <row r="96" spans="1:7" x14ac:dyDescent="0.25">
      <c r="B96" s="1" t="s">
        <v>10</v>
      </c>
      <c r="C96" s="1" t="s">
        <v>0</v>
      </c>
      <c r="D96" s="1" t="s">
        <v>6</v>
      </c>
      <c r="E96" s="10" t="s">
        <v>28</v>
      </c>
      <c r="F96" s="11" t="s">
        <v>27</v>
      </c>
    </row>
    <row r="97" spans="1:6" x14ac:dyDescent="0.25">
      <c r="A97" s="1">
        <v>2</v>
      </c>
      <c r="B97" s="5">
        <f>AVERAGE(B21:B25)</f>
        <v>0.13449800000000001</v>
      </c>
      <c r="C97" s="5">
        <f>AVERAGE(C21:C25)</f>
        <v>0.14445</v>
      </c>
      <c r="D97" s="5">
        <v>0</v>
      </c>
      <c r="E97">
        <v>0</v>
      </c>
      <c r="F97" s="5">
        <f>AVERAGE(E21:E25)</f>
        <v>8.1140000000000004E-2</v>
      </c>
    </row>
    <row r="98" spans="1:6" x14ac:dyDescent="0.25">
      <c r="A98" s="1">
        <v>4</v>
      </c>
      <c r="B98" s="5">
        <f>AVERAGE(B40:B44)</f>
        <v>0.27923600000000004</v>
      </c>
      <c r="C98" s="5">
        <f>AVERAGE(C40:C44)</f>
        <v>0.284551</v>
      </c>
      <c r="D98" s="5">
        <f>AVERAGE(D40:D44)</f>
        <v>4.6644000000000005E-2</v>
      </c>
      <c r="E98">
        <v>0</v>
      </c>
      <c r="F98" s="5">
        <f>AVERAGE(F40:F44)</f>
        <v>8.8782E-2</v>
      </c>
    </row>
    <row r="99" spans="1:6" x14ac:dyDescent="0.25">
      <c r="A99" s="1">
        <v>8</v>
      </c>
      <c r="B99" s="5">
        <f>AVERAGE(B58:B62)</f>
        <v>0.6985380000000001</v>
      </c>
      <c r="C99" s="5">
        <f>AVERAGE(C58:C62)</f>
        <v>0.70256799999999997</v>
      </c>
      <c r="D99" s="5">
        <f>AVERAGE(D58:D62)</f>
        <v>6.8136599999999992E-2</v>
      </c>
      <c r="E99">
        <v>0</v>
      </c>
      <c r="F99" s="5">
        <f>AVERAGE(F58:F62)</f>
        <v>2.9528200000000004E-2</v>
      </c>
    </row>
    <row r="100" spans="1:6" x14ac:dyDescent="0.25">
      <c r="A100" s="1">
        <v>16</v>
      </c>
      <c r="B100" s="5">
        <f>AVERAGE(B77:B81)</f>
        <v>2.999072</v>
      </c>
      <c r="C100" s="5">
        <f>AVERAGE(C77:C81)</f>
        <v>2.973938</v>
      </c>
      <c r="D100" s="5">
        <f>AVERAGE(D77:D81)</f>
        <v>0.45228199999999996</v>
      </c>
      <c r="E100">
        <v>0</v>
      </c>
      <c r="F100" s="5">
        <f>AVERAGE(F77:F81)</f>
        <v>3.7041400000000002E-2</v>
      </c>
    </row>
  </sheetData>
  <mergeCells count="16">
    <mergeCell ref="A56:C56"/>
    <mergeCell ref="A1:G1"/>
    <mergeCell ref="A2:G2"/>
    <mergeCell ref="A11:C11"/>
    <mergeCell ref="A19:C19"/>
    <mergeCell ref="A29:G29"/>
    <mergeCell ref="A30:G30"/>
    <mergeCell ref="A38:C38"/>
    <mergeCell ref="A47:G47"/>
    <mergeCell ref="A48:G48"/>
    <mergeCell ref="A86:G86"/>
    <mergeCell ref="A87:G87"/>
    <mergeCell ref="A95:C95"/>
    <mergeCell ref="A66:G66"/>
    <mergeCell ref="A67:G67"/>
    <mergeCell ref="A75:C75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4D72-F78A-4DDA-B457-73CCDF99CA64}">
  <dimension ref="A2:L62"/>
  <sheetViews>
    <sheetView workbookViewId="0">
      <selection activeCell="J16" sqref="J16:J19"/>
    </sheetView>
  </sheetViews>
  <sheetFormatPr defaultRowHeight="15" x14ac:dyDescent="0.25"/>
  <cols>
    <col min="2" max="2" width="15.85546875" bestFit="1" customWidth="1"/>
    <col min="3" max="3" width="17" customWidth="1"/>
    <col min="4" max="4" width="38.28515625" bestFit="1" customWidth="1"/>
    <col min="5" max="5" width="24.140625" customWidth="1"/>
    <col min="6" max="6" width="9.5703125" bestFit="1" customWidth="1"/>
    <col min="7" max="7" width="6.140625" bestFit="1" customWidth="1"/>
    <col min="8" max="8" width="21.85546875" bestFit="1" customWidth="1"/>
    <col min="9" max="9" width="23.28515625" bestFit="1" customWidth="1"/>
    <col min="10" max="10" width="23.7109375" bestFit="1" customWidth="1"/>
  </cols>
  <sheetData>
    <row r="2" spans="1:10" ht="15" customHeight="1" x14ac:dyDescent="0.25">
      <c r="A2" s="14" t="s">
        <v>17</v>
      </c>
      <c r="B2" s="14"/>
      <c r="C2" s="14"/>
      <c r="D2" s="14"/>
      <c r="E2" s="14"/>
      <c r="F2" s="14"/>
      <c r="G2" s="14"/>
    </row>
    <row r="3" spans="1:10" x14ac:dyDescent="0.25">
      <c r="A3" s="20" t="s">
        <v>16</v>
      </c>
      <c r="B3" s="21"/>
      <c r="C3" s="21"/>
      <c r="D3" s="21"/>
      <c r="E3" s="21"/>
      <c r="F3" s="21"/>
      <c r="G3" s="22"/>
    </row>
    <row r="4" spans="1:10" ht="45" x14ac:dyDescent="0.25">
      <c r="A4" s="7"/>
      <c r="B4" s="3" t="s">
        <v>6</v>
      </c>
      <c r="C4" s="3" t="s">
        <v>7</v>
      </c>
      <c r="D4" s="3" t="s">
        <v>8</v>
      </c>
      <c r="E4" s="3" t="s">
        <v>9</v>
      </c>
      <c r="F4" s="3" t="s">
        <v>0</v>
      </c>
      <c r="G4" s="3" t="s">
        <v>10</v>
      </c>
      <c r="H4" s="10" t="s">
        <v>24</v>
      </c>
      <c r="I4" s="11" t="s">
        <v>32</v>
      </c>
      <c r="J4" s="11" t="s">
        <v>33</v>
      </c>
    </row>
    <row r="5" spans="1:10" x14ac:dyDescent="0.25">
      <c r="A5" s="3" t="s">
        <v>1</v>
      </c>
      <c r="B5" s="6">
        <v>1</v>
      </c>
      <c r="C5" s="6">
        <v>1</v>
      </c>
      <c r="D5" s="6">
        <v>109</v>
      </c>
      <c r="E5" s="6">
        <v>100</v>
      </c>
      <c r="F5" s="6">
        <v>2</v>
      </c>
      <c r="G5" s="6">
        <v>2</v>
      </c>
      <c r="H5" s="6">
        <v>2</v>
      </c>
      <c r="I5" s="6">
        <v>2</v>
      </c>
      <c r="J5" s="6">
        <v>2</v>
      </c>
    </row>
    <row r="6" spans="1:10" x14ac:dyDescent="0.25">
      <c r="A6" s="3" t="s">
        <v>2</v>
      </c>
      <c r="B6" s="6">
        <v>1</v>
      </c>
      <c r="C6" s="6">
        <v>1</v>
      </c>
      <c r="D6" s="6">
        <v>64</v>
      </c>
      <c r="E6" s="6">
        <v>73</v>
      </c>
      <c r="F6" s="6">
        <v>2</v>
      </c>
      <c r="G6" s="6">
        <v>2</v>
      </c>
      <c r="H6" s="6">
        <v>2</v>
      </c>
      <c r="I6" s="6">
        <v>2</v>
      </c>
      <c r="J6" s="6">
        <v>2</v>
      </c>
    </row>
    <row r="7" spans="1:10" x14ac:dyDescent="0.25">
      <c r="A7" s="3" t="s">
        <v>3</v>
      </c>
      <c r="B7" s="6">
        <v>1</v>
      </c>
      <c r="C7" s="6">
        <v>1</v>
      </c>
      <c r="D7" s="6">
        <v>72</v>
      </c>
      <c r="E7" s="6">
        <v>60</v>
      </c>
      <c r="F7" s="6">
        <v>2</v>
      </c>
      <c r="G7" s="6">
        <v>2</v>
      </c>
      <c r="H7" s="6">
        <v>2</v>
      </c>
      <c r="I7" s="6">
        <v>2</v>
      </c>
      <c r="J7" s="6">
        <v>2</v>
      </c>
    </row>
    <row r="8" spans="1:10" x14ac:dyDescent="0.25">
      <c r="A8" s="3" t="s">
        <v>4</v>
      </c>
      <c r="B8" s="6">
        <v>1</v>
      </c>
      <c r="C8" s="6">
        <v>1</v>
      </c>
      <c r="D8" s="6">
        <v>38</v>
      </c>
      <c r="E8" s="6">
        <v>62</v>
      </c>
      <c r="F8" s="6">
        <v>2</v>
      </c>
      <c r="G8" s="6">
        <v>2</v>
      </c>
      <c r="H8" s="6">
        <v>2</v>
      </c>
      <c r="I8" s="6">
        <v>2</v>
      </c>
      <c r="J8" s="6">
        <v>2</v>
      </c>
    </row>
    <row r="9" spans="1:10" x14ac:dyDescent="0.25">
      <c r="A9" s="3" t="s">
        <v>5</v>
      </c>
      <c r="B9" s="6">
        <v>1</v>
      </c>
      <c r="C9" s="6">
        <v>1</v>
      </c>
      <c r="D9" s="6">
        <v>73</v>
      </c>
      <c r="E9" s="6">
        <v>97</v>
      </c>
      <c r="F9" s="6">
        <v>2</v>
      </c>
      <c r="G9" s="6">
        <v>2</v>
      </c>
      <c r="H9" s="6">
        <v>2</v>
      </c>
      <c r="I9" s="6">
        <v>2</v>
      </c>
      <c r="J9" s="6">
        <v>2</v>
      </c>
    </row>
    <row r="12" spans="1:10" ht="15" customHeight="1" x14ac:dyDescent="0.25">
      <c r="A12" s="14" t="s">
        <v>18</v>
      </c>
      <c r="B12" s="14"/>
      <c r="C12" s="14"/>
      <c r="D12" s="14"/>
      <c r="E12" s="14"/>
      <c r="F12" s="14"/>
      <c r="G12" s="14"/>
    </row>
    <row r="13" spans="1:10" x14ac:dyDescent="0.25">
      <c r="A13" s="20" t="s">
        <v>16</v>
      </c>
      <c r="B13" s="21"/>
      <c r="C13" s="21"/>
      <c r="D13" s="21"/>
      <c r="E13" s="21"/>
      <c r="F13" s="21"/>
      <c r="G13" s="22"/>
    </row>
    <row r="14" spans="1:10" ht="45" x14ac:dyDescent="0.25">
      <c r="A14" s="2"/>
      <c r="B14" s="1" t="s">
        <v>6</v>
      </c>
      <c r="C14" s="3" t="s">
        <v>7</v>
      </c>
      <c r="D14" s="1" t="s">
        <v>8</v>
      </c>
      <c r="E14" s="3" t="s">
        <v>9</v>
      </c>
      <c r="F14" s="1" t="s">
        <v>0</v>
      </c>
      <c r="G14" s="1" t="s">
        <v>10</v>
      </c>
      <c r="H14" s="10" t="s">
        <v>24</v>
      </c>
      <c r="I14" s="11" t="s">
        <v>32</v>
      </c>
      <c r="J14" s="11" t="s">
        <v>33</v>
      </c>
    </row>
    <row r="15" spans="1:10" x14ac:dyDescent="0.25">
      <c r="A15" s="1" t="s">
        <v>1</v>
      </c>
      <c r="B15">
        <v>99</v>
      </c>
      <c r="C15">
        <v>1</v>
      </c>
      <c r="D15">
        <v>72</v>
      </c>
      <c r="E15">
        <v>103</v>
      </c>
      <c r="F15">
        <v>4</v>
      </c>
      <c r="G15">
        <v>4</v>
      </c>
      <c r="H15">
        <v>4</v>
      </c>
      <c r="I15">
        <v>4</v>
      </c>
      <c r="J15">
        <v>4</v>
      </c>
    </row>
    <row r="16" spans="1:10" x14ac:dyDescent="0.25">
      <c r="A16" s="1" t="s">
        <v>2</v>
      </c>
      <c r="B16">
        <v>103</v>
      </c>
      <c r="C16">
        <v>1</v>
      </c>
      <c r="D16">
        <v>94</v>
      </c>
      <c r="E16">
        <v>64</v>
      </c>
      <c r="F16">
        <v>4</v>
      </c>
      <c r="G16">
        <v>4</v>
      </c>
      <c r="H16">
        <v>4</v>
      </c>
      <c r="I16">
        <v>4</v>
      </c>
      <c r="J16">
        <v>4</v>
      </c>
    </row>
    <row r="17" spans="1:10" x14ac:dyDescent="0.25">
      <c r="A17" s="1" t="s">
        <v>3</v>
      </c>
      <c r="B17">
        <v>224</v>
      </c>
      <c r="C17">
        <v>1</v>
      </c>
      <c r="D17">
        <v>83</v>
      </c>
      <c r="E17">
        <v>76</v>
      </c>
      <c r="F17">
        <v>4</v>
      </c>
      <c r="G17">
        <v>4</v>
      </c>
      <c r="H17">
        <v>7</v>
      </c>
      <c r="I17">
        <v>5</v>
      </c>
      <c r="J17">
        <v>4</v>
      </c>
    </row>
    <row r="18" spans="1:10" x14ac:dyDescent="0.25">
      <c r="A18" s="1" t="s">
        <v>4</v>
      </c>
      <c r="B18">
        <v>28</v>
      </c>
      <c r="C18">
        <v>1</v>
      </c>
      <c r="D18">
        <v>116</v>
      </c>
      <c r="E18">
        <v>93</v>
      </c>
      <c r="F18">
        <v>4</v>
      </c>
      <c r="G18">
        <v>4</v>
      </c>
      <c r="H18">
        <v>5</v>
      </c>
      <c r="I18">
        <v>4</v>
      </c>
      <c r="J18">
        <v>4</v>
      </c>
    </row>
    <row r="19" spans="1:10" x14ac:dyDescent="0.25">
      <c r="A19" s="1" t="s">
        <v>5</v>
      </c>
      <c r="B19">
        <v>1</v>
      </c>
      <c r="C19">
        <v>1</v>
      </c>
      <c r="D19">
        <v>118</v>
      </c>
      <c r="E19">
        <v>111</v>
      </c>
      <c r="F19">
        <v>4</v>
      </c>
      <c r="G19">
        <v>4</v>
      </c>
      <c r="H19">
        <v>4</v>
      </c>
      <c r="I19">
        <v>4</v>
      </c>
      <c r="J19">
        <v>4</v>
      </c>
    </row>
    <row r="26" spans="1:10" x14ac:dyDescent="0.25">
      <c r="A26" s="14" t="s">
        <v>26</v>
      </c>
      <c r="B26" s="14"/>
      <c r="C26" s="14"/>
      <c r="D26" s="14"/>
      <c r="E26" s="14"/>
      <c r="F26" s="14"/>
      <c r="G26" s="14"/>
    </row>
    <row r="27" spans="1:10" x14ac:dyDescent="0.25">
      <c r="A27" s="20" t="s">
        <v>16</v>
      </c>
      <c r="B27" s="21"/>
      <c r="C27" s="21"/>
      <c r="D27" s="21"/>
      <c r="E27" s="21"/>
      <c r="F27" s="21"/>
      <c r="G27" s="22"/>
    </row>
    <row r="28" spans="1:10" ht="45" x14ac:dyDescent="0.25">
      <c r="A28" s="2"/>
      <c r="B28" s="1" t="s">
        <v>6</v>
      </c>
      <c r="C28" s="3" t="s">
        <v>7</v>
      </c>
      <c r="D28" s="1" t="s">
        <v>8</v>
      </c>
      <c r="E28" s="3" t="s">
        <v>9</v>
      </c>
      <c r="F28" s="1" t="s">
        <v>0</v>
      </c>
      <c r="G28" s="1" t="s">
        <v>10</v>
      </c>
      <c r="H28" s="10" t="s">
        <v>24</v>
      </c>
      <c r="I28" s="11" t="s">
        <v>32</v>
      </c>
      <c r="J28" s="11" t="s">
        <v>33</v>
      </c>
    </row>
    <row r="29" spans="1:10" x14ac:dyDescent="0.25">
      <c r="A29" s="1" t="s">
        <v>1</v>
      </c>
      <c r="B29">
        <v>369</v>
      </c>
      <c r="C29">
        <v>8</v>
      </c>
      <c r="D29">
        <v>132</v>
      </c>
      <c r="E29">
        <v>153</v>
      </c>
      <c r="F29">
        <v>9</v>
      </c>
      <c r="G29">
        <v>8</v>
      </c>
      <c r="H29">
        <v>596</v>
      </c>
      <c r="I29">
        <v>245</v>
      </c>
    </row>
    <row r="30" spans="1:10" x14ac:dyDescent="0.25">
      <c r="A30" s="1" t="s">
        <v>2</v>
      </c>
      <c r="B30">
        <v>173</v>
      </c>
      <c r="C30">
        <v>5</v>
      </c>
      <c r="D30">
        <v>143</v>
      </c>
      <c r="E30">
        <v>147</v>
      </c>
      <c r="F30">
        <v>8</v>
      </c>
      <c r="G30">
        <v>8</v>
      </c>
      <c r="H30">
        <v>339</v>
      </c>
      <c r="I30">
        <v>248</v>
      </c>
    </row>
    <row r="31" spans="1:10" x14ac:dyDescent="0.25">
      <c r="A31" s="1" t="s">
        <v>3</v>
      </c>
      <c r="B31">
        <v>195</v>
      </c>
      <c r="C31">
        <v>15</v>
      </c>
      <c r="D31">
        <v>163</v>
      </c>
      <c r="E31">
        <v>109</v>
      </c>
      <c r="F31">
        <v>8</v>
      </c>
      <c r="G31">
        <v>8</v>
      </c>
      <c r="H31">
        <v>434</v>
      </c>
      <c r="I31">
        <v>206</v>
      </c>
    </row>
    <row r="32" spans="1:10" x14ac:dyDescent="0.25">
      <c r="A32" s="1" t="s">
        <v>4</v>
      </c>
      <c r="B32">
        <v>689</v>
      </c>
      <c r="C32">
        <v>1</v>
      </c>
      <c r="D32">
        <v>198</v>
      </c>
      <c r="E32">
        <v>116</v>
      </c>
      <c r="F32">
        <v>9</v>
      </c>
      <c r="G32">
        <v>9</v>
      </c>
      <c r="H32">
        <v>614</v>
      </c>
      <c r="I32">
        <v>112</v>
      </c>
    </row>
    <row r="33" spans="1:10" x14ac:dyDescent="0.25">
      <c r="A33" s="1" t="s">
        <v>5</v>
      </c>
      <c r="B33">
        <v>377</v>
      </c>
      <c r="C33">
        <v>29</v>
      </c>
      <c r="D33">
        <v>119</v>
      </c>
      <c r="E33">
        <v>146</v>
      </c>
      <c r="F33">
        <v>8</v>
      </c>
      <c r="G33">
        <v>8</v>
      </c>
      <c r="H33">
        <v>400</v>
      </c>
      <c r="I33">
        <v>222</v>
      </c>
    </row>
    <row r="38" spans="1:10" x14ac:dyDescent="0.25">
      <c r="A38" s="14" t="s">
        <v>21</v>
      </c>
      <c r="B38" s="14"/>
      <c r="C38" s="14"/>
      <c r="D38" s="14"/>
      <c r="E38" s="14"/>
      <c r="F38" s="14"/>
      <c r="G38" s="14"/>
    </row>
    <row r="39" spans="1:10" x14ac:dyDescent="0.25">
      <c r="A39" s="20" t="s">
        <v>16</v>
      </c>
      <c r="B39" s="21"/>
      <c r="C39" s="21"/>
      <c r="D39" s="21"/>
      <c r="E39" s="21"/>
      <c r="F39" s="21"/>
      <c r="G39" s="22"/>
    </row>
    <row r="40" spans="1:10" ht="45" x14ac:dyDescent="0.25">
      <c r="A40" s="2"/>
      <c r="B40" s="1" t="s">
        <v>6</v>
      </c>
      <c r="C40" s="3" t="s">
        <v>7</v>
      </c>
      <c r="D40" s="1" t="s">
        <v>8</v>
      </c>
      <c r="E40" s="3" t="s">
        <v>9</v>
      </c>
      <c r="F40" s="1" t="s">
        <v>0</v>
      </c>
      <c r="G40" s="1" t="s">
        <v>10</v>
      </c>
      <c r="H40" s="10" t="s">
        <v>24</v>
      </c>
      <c r="I40" s="11" t="s">
        <v>32</v>
      </c>
      <c r="J40" s="11" t="s">
        <v>33</v>
      </c>
    </row>
    <row r="41" spans="1:10" x14ac:dyDescent="0.25">
      <c r="A41" s="1" t="s">
        <v>1</v>
      </c>
      <c r="B41">
        <v>1332</v>
      </c>
      <c r="C41">
        <v>89</v>
      </c>
      <c r="D41">
        <v>220</v>
      </c>
      <c r="E41">
        <v>141</v>
      </c>
      <c r="F41">
        <v>20</v>
      </c>
      <c r="G41">
        <v>18</v>
      </c>
      <c r="H41">
        <v>710</v>
      </c>
      <c r="I41">
        <v>266</v>
      </c>
    </row>
    <row r="42" spans="1:10" x14ac:dyDescent="0.25">
      <c r="A42" s="1" t="s">
        <v>2</v>
      </c>
      <c r="B42">
        <v>663</v>
      </c>
      <c r="C42">
        <v>64</v>
      </c>
      <c r="D42">
        <v>188</v>
      </c>
      <c r="E42">
        <v>172</v>
      </c>
      <c r="F42">
        <v>16</v>
      </c>
      <c r="G42">
        <v>17</v>
      </c>
      <c r="H42">
        <v>583</v>
      </c>
      <c r="I42">
        <v>330</v>
      </c>
    </row>
    <row r="43" spans="1:10" x14ac:dyDescent="0.25">
      <c r="A43" s="1" t="s">
        <v>3</v>
      </c>
      <c r="B43">
        <v>502</v>
      </c>
      <c r="C43">
        <v>41</v>
      </c>
      <c r="D43">
        <v>739</v>
      </c>
      <c r="E43">
        <v>111</v>
      </c>
      <c r="F43">
        <v>19</v>
      </c>
      <c r="G43">
        <v>16</v>
      </c>
      <c r="H43">
        <v>641</v>
      </c>
      <c r="I43">
        <v>361</v>
      </c>
    </row>
    <row r="44" spans="1:10" x14ac:dyDescent="0.25">
      <c r="A44" s="1" t="s">
        <v>4</v>
      </c>
      <c r="B44">
        <v>1108</v>
      </c>
      <c r="C44">
        <v>72</v>
      </c>
      <c r="D44">
        <v>261</v>
      </c>
      <c r="E44">
        <v>149</v>
      </c>
      <c r="F44">
        <v>17</v>
      </c>
      <c r="G44">
        <v>16</v>
      </c>
      <c r="H44">
        <v>623</v>
      </c>
      <c r="I44">
        <v>398</v>
      </c>
    </row>
    <row r="45" spans="1:10" x14ac:dyDescent="0.25">
      <c r="A45" s="1" t="s">
        <v>5</v>
      </c>
      <c r="B45">
        <v>719</v>
      </c>
      <c r="C45">
        <v>65</v>
      </c>
      <c r="D45">
        <v>213</v>
      </c>
      <c r="E45">
        <v>139</v>
      </c>
      <c r="F45">
        <v>19</v>
      </c>
      <c r="G45">
        <v>17</v>
      </c>
      <c r="H45">
        <v>435</v>
      </c>
      <c r="I45">
        <v>362</v>
      </c>
    </row>
    <row r="49" spans="1:12" x14ac:dyDescent="0.25">
      <c r="A49" s="16" t="s">
        <v>22</v>
      </c>
      <c r="B49" s="16"/>
      <c r="C49" s="16"/>
      <c r="D49" s="16"/>
      <c r="E49" s="16"/>
      <c r="F49" s="16"/>
      <c r="G49" s="16"/>
    </row>
    <row r="50" spans="1:12" ht="45" x14ac:dyDescent="0.25">
      <c r="A50" s="2"/>
      <c r="B50" s="1" t="s">
        <v>6</v>
      </c>
      <c r="C50" s="3" t="s">
        <v>7</v>
      </c>
      <c r="D50" s="1" t="s">
        <v>8</v>
      </c>
      <c r="E50" s="3" t="s">
        <v>9</v>
      </c>
      <c r="F50" s="1" t="s">
        <v>0</v>
      </c>
      <c r="G50" s="1" t="s">
        <v>10</v>
      </c>
      <c r="H50" s="10" t="s">
        <v>28</v>
      </c>
      <c r="I50" s="11" t="s">
        <v>27</v>
      </c>
      <c r="L50" t="s">
        <v>29</v>
      </c>
    </row>
    <row r="51" spans="1:12" x14ac:dyDescent="0.25">
      <c r="A51" s="1">
        <v>2</v>
      </c>
      <c r="B51">
        <f>AVERAGE(B5:B9)</f>
        <v>1</v>
      </c>
      <c r="C51">
        <f t="shared" ref="C51:G51" si="0">AVERAGE(C5:C9)</f>
        <v>1</v>
      </c>
      <c r="D51">
        <f t="shared" si="0"/>
        <v>71.2</v>
      </c>
      <c r="E51">
        <f>AVERAGE(E5:E9)</f>
        <v>78.400000000000006</v>
      </c>
      <c r="F51">
        <f>AVERAGE(F5:F9)</f>
        <v>2</v>
      </c>
      <c r="G51">
        <f t="shared" si="0"/>
        <v>2</v>
      </c>
      <c r="H51">
        <f>AVERAGE(H5:H9)</f>
        <v>2</v>
      </c>
      <c r="I51">
        <f>AVERAGE(I5:I9)</f>
        <v>2</v>
      </c>
    </row>
    <row r="52" spans="1:12" x14ac:dyDescent="0.25">
      <c r="A52" s="1">
        <v>4</v>
      </c>
      <c r="B52">
        <f t="shared" ref="B52:G52" si="1">AVERAGE(B15:B19)</f>
        <v>91</v>
      </c>
      <c r="C52">
        <f t="shared" si="1"/>
        <v>1</v>
      </c>
      <c r="D52">
        <f t="shared" si="1"/>
        <v>96.6</v>
      </c>
      <c r="E52">
        <f t="shared" si="1"/>
        <v>89.4</v>
      </c>
      <c r="F52">
        <f t="shared" si="1"/>
        <v>4</v>
      </c>
      <c r="G52">
        <f t="shared" si="1"/>
        <v>4</v>
      </c>
      <c r="H52">
        <f>AVERAGE(H15:H19)</f>
        <v>4.8</v>
      </c>
      <c r="I52">
        <f>AVERAGE(I15:I19)</f>
        <v>4.2</v>
      </c>
    </row>
    <row r="53" spans="1:12" x14ac:dyDescent="0.25">
      <c r="A53" s="1">
        <v>8</v>
      </c>
      <c r="B53">
        <f>AVERAGE(B29:B33)</f>
        <v>360.6</v>
      </c>
      <c r="C53">
        <f t="shared" ref="C53:F53" si="2">AVERAGE(C29:C33)</f>
        <v>11.6</v>
      </c>
      <c r="D53">
        <f t="shared" si="2"/>
        <v>151</v>
      </c>
      <c r="E53">
        <f>AVERAGE(E29:E33)</f>
        <v>134.19999999999999</v>
      </c>
      <c r="F53">
        <f t="shared" si="2"/>
        <v>8.4</v>
      </c>
      <c r="G53">
        <f>AVERAGE(G29:G33)</f>
        <v>8.1999999999999993</v>
      </c>
      <c r="H53">
        <f>AVERAGE(H29:H33)</f>
        <v>476.6</v>
      </c>
      <c r="I53">
        <f>AVERAGE(I29:I33)</f>
        <v>206.6</v>
      </c>
    </row>
    <row r="54" spans="1:12" x14ac:dyDescent="0.25">
      <c r="A54" s="1">
        <v>16</v>
      </c>
      <c r="B54">
        <f t="shared" ref="B54:G54" si="3">AVERAGE(B41:B45)</f>
        <v>864.8</v>
      </c>
      <c r="C54">
        <f t="shared" si="3"/>
        <v>66.2</v>
      </c>
      <c r="D54">
        <f t="shared" si="3"/>
        <v>324.2</v>
      </c>
      <c r="E54">
        <f>AVERAGE(E41:E45)</f>
        <v>142.4</v>
      </c>
      <c r="F54">
        <f t="shared" si="3"/>
        <v>18.2</v>
      </c>
      <c r="G54">
        <f t="shared" si="3"/>
        <v>16.8</v>
      </c>
      <c r="H54">
        <f>AVERAGE(H41:H45)</f>
        <v>598.4</v>
      </c>
      <c r="I54">
        <f>AVERAGE(I41:I45)</f>
        <v>343.4</v>
      </c>
    </row>
    <row r="58" spans="1:12" x14ac:dyDescent="0.25">
      <c r="H58" s="2"/>
      <c r="I58" s="1" t="s">
        <v>0</v>
      </c>
      <c r="J58" s="1" t="s">
        <v>10</v>
      </c>
      <c r="K58" s="10" t="s">
        <v>28</v>
      </c>
      <c r="L58" s="11" t="s">
        <v>27</v>
      </c>
    </row>
    <row r="59" spans="1:12" x14ac:dyDescent="0.25">
      <c r="H59" s="1">
        <v>2</v>
      </c>
      <c r="I59">
        <v>2</v>
      </c>
      <c r="J59">
        <v>2</v>
      </c>
      <c r="K59">
        <v>4</v>
      </c>
      <c r="L59">
        <v>2</v>
      </c>
    </row>
    <row r="60" spans="1:12" x14ac:dyDescent="0.25">
      <c r="H60" s="1">
        <v>4</v>
      </c>
      <c r="I60">
        <v>1</v>
      </c>
      <c r="J60">
        <v>1</v>
      </c>
      <c r="K60">
        <v>162</v>
      </c>
      <c r="L60">
        <v>67.8</v>
      </c>
    </row>
    <row r="61" spans="1:12" x14ac:dyDescent="0.25">
      <c r="H61" s="1">
        <v>8</v>
      </c>
      <c r="I61">
        <v>8.4</v>
      </c>
      <c r="J61">
        <v>8.1999999999999993</v>
      </c>
      <c r="K61">
        <v>476.6</v>
      </c>
      <c r="L61">
        <v>206.6</v>
      </c>
    </row>
    <row r="62" spans="1:12" x14ac:dyDescent="0.25">
      <c r="H62" s="1">
        <v>16</v>
      </c>
      <c r="I62">
        <v>18.2</v>
      </c>
      <c r="J62">
        <v>16.8</v>
      </c>
      <c r="K62">
        <v>598.4</v>
      </c>
      <c r="L62">
        <v>343.4</v>
      </c>
    </row>
  </sheetData>
  <mergeCells count="9">
    <mergeCell ref="A49:G49"/>
    <mergeCell ref="A27:G27"/>
    <mergeCell ref="A38:G38"/>
    <mergeCell ref="A39:G39"/>
    <mergeCell ref="A2:G2"/>
    <mergeCell ref="A3:G3"/>
    <mergeCell ref="A12:G12"/>
    <mergeCell ref="A13:G13"/>
    <mergeCell ref="A26:G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AlHassan</dc:creator>
  <cp:lastModifiedBy>Alhassan Satii Aalshareedah</cp:lastModifiedBy>
  <dcterms:created xsi:type="dcterms:W3CDTF">2024-08-01T13:53:43Z</dcterms:created>
  <dcterms:modified xsi:type="dcterms:W3CDTF">2024-12-12T16:23:28Z</dcterms:modified>
</cp:coreProperties>
</file>
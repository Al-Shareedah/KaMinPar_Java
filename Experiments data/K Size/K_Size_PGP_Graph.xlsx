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K Size\"/>
    </mc:Choice>
  </mc:AlternateContent>
  <xr:revisionPtr revIDLastSave="0" documentId="13_ncr:1_{901B7AB9-C2A7-4617-BF87-53D43B707CF5}" xr6:coauthVersionLast="47" xr6:coauthVersionMax="47" xr10:uidLastSave="{00000000-0000-0000-0000-000000000000}"/>
  <bookViews>
    <workbookView xWindow="28680" yWindow="-210" windowWidth="29040" windowHeight="15720" xr2:uid="{00000000-000D-0000-FFFF-FFFF00000000}"/>
  </bookViews>
  <sheets>
    <sheet name="Edge Cuts" sheetId="1" r:id="rId1"/>
    <sheet name="Runtimes" sheetId="3" r:id="rId2"/>
    <sheet name="CCM" sheetId="5" r:id="rId3"/>
    <sheet name="Contiguit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J60" i="1"/>
  <c r="J58" i="1"/>
  <c r="I60" i="1"/>
  <c r="I59" i="1"/>
  <c r="I58" i="1"/>
  <c r="I54" i="6"/>
  <c r="I53" i="6"/>
  <c r="I52" i="6"/>
  <c r="I51" i="6"/>
  <c r="H54" i="6"/>
  <c r="H53" i="6"/>
  <c r="H52" i="6"/>
  <c r="H51" i="6"/>
  <c r="F100" i="5"/>
  <c r="F99" i="5"/>
  <c r="F98" i="5"/>
  <c r="F97" i="5"/>
  <c r="F92" i="5"/>
  <c r="F91" i="5"/>
  <c r="F90" i="5"/>
  <c r="F89" i="5"/>
  <c r="I58" i="3"/>
  <c r="I57" i="3"/>
  <c r="I56" i="3"/>
  <c r="I55" i="3"/>
  <c r="H58" i="3"/>
  <c r="H57" i="3"/>
  <c r="H56" i="3"/>
  <c r="H55" i="3"/>
  <c r="I52" i="1"/>
  <c r="I51" i="1"/>
  <c r="L60" i="1" s="1"/>
  <c r="I50" i="1"/>
  <c r="L59" i="1" s="1"/>
  <c r="I49" i="1"/>
  <c r="L58" i="1" s="1"/>
  <c r="H52" i="1"/>
  <c r="H51" i="1"/>
  <c r="K60" i="1" s="1"/>
  <c r="H50" i="1"/>
  <c r="K59" i="1" s="1"/>
  <c r="H49" i="1"/>
  <c r="K58" i="1" s="1"/>
  <c r="B89" i="5"/>
  <c r="E51" i="6"/>
  <c r="E52" i="6"/>
  <c r="E53" i="6"/>
  <c r="E54" i="6"/>
  <c r="C90" i="5"/>
  <c r="B90" i="5"/>
  <c r="B51" i="1"/>
  <c r="G54" i="6"/>
  <c r="G53" i="6"/>
  <c r="G52" i="6"/>
  <c r="G51" i="6"/>
  <c r="F54" i="6"/>
  <c r="F53" i="6"/>
  <c r="F52" i="6"/>
  <c r="F51" i="6"/>
  <c r="D54" i="6"/>
  <c r="D53" i="6"/>
  <c r="D52" i="6"/>
  <c r="D51" i="6"/>
  <c r="C54" i="6"/>
  <c r="C53" i="6"/>
  <c r="C52" i="6"/>
  <c r="C51" i="6"/>
  <c r="B54" i="6"/>
  <c r="B53" i="6"/>
  <c r="B52" i="6"/>
  <c r="B51" i="6"/>
  <c r="D100" i="5"/>
  <c r="D99" i="5"/>
  <c r="D92" i="5"/>
  <c r="D91" i="5"/>
  <c r="C100" i="5"/>
  <c r="C99" i="5"/>
  <c r="C98" i="5"/>
  <c r="C97" i="5"/>
  <c r="B100" i="5"/>
  <c r="B99" i="5"/>
  <c r="B98" i="5"/>
  <c r="B97" i="5"/>
  <c r="C92" i="5"/>
  <c r="C91" i="5"/>
  <c r="C89" i="5"/>
  <c r="B92" i="5"/>
  <c r="B91" i="5"/>
  <c r="G58" i="3"/>
  <c r="G57" i="3"/>
  <c r="G56" i="3"/>
  <c r="G55" i="3"/>
  <c r="F58" i="3"/>
  <c r="F57" i="3"/>
  <c r="F56" i="3"/>
  <c r="F55" i="3"/>
  <c r="E58" i="3"/>
  <c r="E57" i="3"/>
  <c r="E56" i="3"/>
  <c r="E55" i="3"/>
  <c r="D58" i="3"/>
  <c r="D57" i="3"/>
  <c r="D56" i="3"/>
  <c r="D55" i="3"/>
  <c r="C58" i="3"/>
  <c r="C57" i="3"/>
  <c r="C56" i="3"/>
  <c r="C55" i="3"/>
  <c r="B55" i="3"/>
  <c r="B56" i="3"/>
  <c r="B57" i="3"/>
  <c r="B58" i="3"/>
  <c r="G52" i="1"/>
  <c r="J61" i="1" s="1"/>
  <c r="G51" i="1"/>
  <c r="G50" i="1"/>
  <c r="G49" i="1"/>
  <c r="F52" i="1"/>
  <c r="F51" i="1"/>
  <c r="F50" i="1"/>
  <c r="F49" i="1"/>
  <c r="E52" i="1"/>
  <c r="E51" i="1"/>
  <c r="E50" i="1"/>
  <c r="E49" i="1"/>
  <c r="D52" i="1"/>
  <c r="D51" i="1"/>
  <c r="D50" i="1"/>
  <c r="D49" i="1"/>
  <c r="C52" i="1"/>
  <c r="C51" i="1"/>
  <c r="C50" i="1"/>
  <c r="C49" i="1"/>
  <c r="B52" i="1"/>
  <c r="B50" i="1"/>
  <c r="B49" i="1"/>
  <c r="I61" i="1" l="1"/>
  <c r="L61" i="1"/>
  <c r="K61" i="1"/>
</calcChain>
</file>

<file path=xl/sharedStrings.xml><?xml version="1.0" encoding="utf-8"?>
<sst xmlns="http://schemas.openxmlformats.org/spreadsheetml/2006/main" count="344" uniqueCount="34">
  <si>
    <t>KaMinPar</t>
  </si>
  <si>
    <t>Result 1</t>
  </si>
  <si>
    <t>Result 2</t>
  </si>
  <si>
    <t>Result 3</t>
  </si>
  <si>
    <t>Result 4</t>
  </si>
  <si>
    <t>Result 5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</si>
  <si>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</si>
  <si>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</si>
  <si>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</si>
  <si>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</si>
  <si>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KaHIP</t>
  </si>
  <si>
    <t>f = [0.7, 0.3, 0, -0.3, -0.7]</t>
  </si>
  <si>
    <t>Edge Cut</t>
  </si>
  <si>
    <t>Percentage of partitions not meeting desired size</t>
  </si>
  <si>
    <t>Average percentage by which partitions missed the desired size</t>
  </si>
  <si>
    <t>CCM</t>
  </si>
  <si>
    <t>Run Time (S)</t>
  </si>
  <si>
    <t>Number of Connected Components</t>
  </si>
  <si>
    <t>K = 2, Graph = PGP, Contraction = 70%, Cardinality Sizes = [4643, 6037] at f = 0.3, CL= 1602</t>
  </si>
  <si>
    <t>K = 4, Graph = PGP, Contraction = 70%, Cardinality Sizes = [1726, 2244, 2917, 3793] at f = 0.3, CL= 1602</t>
  </si>
  <si>
    <t>K = 8, Graph = PGP, Contraction = 70%, Cardinality Sizes = [ 448, 582, 757,  983, 1279, 1662, 2161, 2808] at f = 0.3, CL= 1602</t>
  </si>
  <si>
    <t>K =16, Graph = Email, Contraction = 70%, Cardinality Sizes = [49, 64, 83, 107, 140, 182, 236, 307, 399, 518, 674, 876, 1139, 1481, 1925, 2500] at f = 0.3</t>
  </si>
  <si>
    <t>Average</t>
  </si>
  <si>
    <t>Average Results</t>
  </si>
  <si>
    <t>Deep Multilevel, ε= 0.0</t>
  </si>
  <si>
    <t>Deep Multilevel, ε = 0.05</t>
  </si>
  <si>
    <t>Deep Multilevel, ε = 5</t>
  </si>
  <si>
    <t>Deep Multilevel, ε= 0</t>
  </si>
  <si>
    <t>Deep Multilevel, ε = 534</t>
  </si>
  <si>
    <t>Deep Multilevel, ε = 120</t>
  </si>
  <si>
    <t>Deep Multilevel, ε = 22</t>
  </si>
  <si>
    <t>Deep NUGP, ε= 0.0</t>
  </si>
  <si>
    <t>Deep NUGP, ε = 534</t>
  </si>
  <si>
    <t>Deep NUGP, ε =  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</si>
</sst>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vertical="center"/>
    </xf>
    <xf numFmtId="1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9" fontId="0" fillId="0" borderId="0" xfId="1" applyFont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Cuts'!$F$48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Cuts'!$F$49:$F$52</c:f>
              <c:numCache>
                <c:formatCode>General</c:formatCode>
                <c:ptCount val="4"/>
                <c:pt idx="0">
                  <c:v>407.6</c:v>
                </c:pt>
                <c:pt idx="1">
                  <c:v>755.4</c:v>
                </c:pt>
                <c:pt idx="2">
                  <c:v>1139.4000000000001</c:v>
                </c:pt>
                <c:pt idx="3">
                  <c:v>1644.2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6A-46AB-A3BD-02249C4C8E77}"/>
            </c:ext>
          </c:extLst>
        </c:ser>
        <c:ser>
          <c:idx val="5"/>
          <c:order val="5"/>
          <c:tx>
            <c:strRef>
              <c:f>'Edge Cuts'!$G$48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Cuts'!$G$49:$G$52</c:f>
              <c:numCache>
                <c:formatCode>General</c:formatCode>
                <c:ptCount val="4"/>
                <c:pt idx="0">
                  <c:v>616.6</c:v>
                </c:pt>
                <c:pt idx="1">
                  <c:v>907.6</c:v>
                </c:pt>
                <c:pt idx="2">
                  <c:v>1451.2</c:v>
                </c:pt>
                <c:pt idx="3">
                  <c:v>1724.8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6A-46AB-A3BD-02249C4C8E77}"/>
            </c:ext>
          </c:extLst>
        </c:ser>
        <c:ser>
          <c:idx val="6"/>
          <c:order val="6"/>
          <c:tx>
            <c:strRef>
              <c:f>'Edge Cuts'!$H$48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Cuts'!$H$49:$H$52</c:f>
              <c:numCache>
                <c:formatCode>General</c:formatCode>
                <c:ptCount val="4"/>
                <c:pt idx="0">
                  <c:v>451</c:v>
                </c:pt>
                <c:pt idx="1">
                  <c:v>825.4</c:v>
                </c:pt>
                <c:pt idx="2">
                  <c:v>1404</c:v>
                </c:pt>
                <c:pt idx="3">
                  <c:v>1825.2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7-4852-B38C-6A568B7247D2}"/>
            </c:ext>
          </c:extLst>
        </c:ser>
        <c:ser>
          <c:idx val="7"/>
          <c:order val="7"/>
          <c:tx>
            <c:strRef>
              <c:f>'Edge Cuts'!$I$48</c:f>
              <c:strCache>
                <c:ptCount val="1"/>
                <c:pt idx="0">
                  <c:v>Deep Multilevel, ε = 534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Cuts'!$A$49:$A$52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Cuts'!$I$49:$I$52</c:f>
              <c:numCache>
                <c:formatCode>General</c:formatCode>
                <c:ptCount val="4"/>
                <c:pt idx="0">
                  <c:v>422.4</c:v>
                </c:pt>
                <c:pt idx="1">
                  <c:v>759.4</c:v>
                </c:pt>
                <c:pt idx="2">
                  <c:v>1222.5999999999999</c:v>
                </c:pt>
                <c:pt idx="3">
                  <c:v>1731.4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A7-4852-B38C-6A568B724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461024"/>
        <c:axId val="16104720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Cuts'!$B$48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Cuts'!$B$49:$B$52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1948.2</c:v>
                      </c:pt>
                      <c:pt idx="1">
                        <c:v>3661</c:v>
                      </c:pt>
                      <c:pt idx="2">
                        <c:v>6429</c:v>
                      </c:pt>
                      <c:pt idx="3">
                        <c:v>9501.7999999999993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36A-46AB-A3BD-02249C4C8E7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Cuts'!$C$49:$C$52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1814.6</c:v>
                      </c:pt>
                      <c:pt idx="1">
                        <c:v>3596</c:v>
                      </c:pt>
                      <c:pt idx="2">
                        <c:v>4442.2</c:v>
                      </c:pt>
                      <c:pt idx="3">
                        <c:v>6028.8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36A-46AB-A3BD-02249C4C8E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Cuts'!$D$49:$D$52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3118.4</c:v>
                      </c:pt>
                      <c:pt idx="1">
                        <c:v>5523.8</c:v>
                      </c:pt>
                      <c:pt idx="2">
                        <c:v>9039.4</c:v>
                      </c:pt>
                      <c:pt idx="3">
                        <c:v>9117.4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36A-46AB-A3BD-02249C4C8E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Cuts'!$E$48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Cuts'!$A$49:$A$52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Cuts'!$E$49:$E$52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3095.2</c:v>
                      </c:pt>
                      <c:pt idx="1">
                        <c:v>4637.6000000000004</c:v>
                      </c:pt>
                      <c:pt idx="2">
                        <c:v>5829.4</c:v>
                      </c:pt>
                      <c:pt idx="3">
                        <c:v>5239.8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36A-46AB-A3BD-02249C4C8E77}"/>
                  </c:ext>
                </c:extLst>
              </c15:ser>
            </c15:filteredScatterSeries>
          </c:ext>
        </c:extLst>
      </c:scatterChart>
      <c:valAx>
        <c:axId val="161046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72064"/>
        <c:crosses val="autoZero"/>
        <c:crossBetween val="midCat"/>
      </c:valAx>
      <c:valAx>
        <c:axId val="16104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6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Cuts'!$I$57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Cuts'!$H$58:$H$61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Cuts'!$I$58:$I$61</c:f>
              <c:numCache>
                <c:formatCode>0%</c:formatCode>
                <c:ptCount val="4"/>
                <c:pt idx="0">
                  <c:v>0.338955562763542</c:v>
                </c:pt>
                <c:pt idx="1">
                  <c:v>0.16769501983252538</c:v>
                </c:pt>
                <c:pt idx="2">
                  <c:v>0.21485667034178607</c:v>
                </c:pt>
                <c:pt idx="3">
                  <c:v>4.6730055658627034E-2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82-4EFA-A6DA-5104DFCDFA68}"/>
            </c:ext>
          </c:extLst>
        </c:ser>
        <c:ser>
          <c:idx val="1"/>
          <c:order val="1"/>
          <c:tx>
            <c:strRef>
              <c:f>'Edge Cuts'!$J$57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Cuts'!$H$58:$H$61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Cuts'!$J$58:$J$61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82-4EFA-A6DA-5104DFCDFA68}"/>
            </c:ext>
          </c:extLst>
        </c:ser>
        <c:ser>
          <c:idx val="2"/>
          <c:order val="2"/>
          <c:tx>
            <c:strRef>
              <c:f>'Edge Cuts'!$K$57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Cuts'!$H$58:$H$61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Cuts'!$K$58:$K$61</c:f>
              <c:numCache>
                <c:formatCode>0%</c:formatCode>
                <c:ptCount val="4"/>
                <c:pt idx="0">
                  <c:v>0.26856957508919888</c:v>
                </c:pt>
                <c:pt idx="1">
                  <c:v>9.0568532393124776E-2</c:v>
                </c:pt>
                <c:pt idx="2">
                  <c:v>3.2524807056229357E-2</c:v>
                </c:pt>
                <c:pt idx="3">
                  <c:v>-5.8209647495361838E-2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82-4EFA-A6DA-5104DFCDFA68}"/>
            </c:ext>
          </c:extLst>
        </c:ser>
        <c:ser>
          <c:idx val="3"/>
          <c:order val="3"/>
          <c:tx>
            <c:strRef>
              <c:f>'Edge Cuts'!$L$57</c:f>
              <c:strCache>
                <c:ptCount val="1"/>
                <c:pt idx="0">
                  <c:v>Deep NUGP, ε = 534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Cuts'!$H$58:$H$61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Cuts'!$L$58:$L$61</c:f>
              <c:numCache>
                <c:formatCode>0%</c:formatCode>
                <c:ptCount val="4"/>
                <c:pt idx="0">
                  <c:v>0.31495296788842042</c:v>
                </c:pt>
                <c:pt idx="1">
                  <c:v>0.16328779197884535</c:v>
                </c:pt>
                <c:pt idx="2">
                  <c:v>0.15752480705622943</c:v>
                </c:pt>
                <c:pt idx="3">
                  <c:v>-3.8265306122449772E-3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82-4EFA-A6DA-5104DFCD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71439"/>
        <c:axId val="1534871919"/>
      </c:scatterChart>
      <c:valAx>
        <c:axId val="153487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71919"/>
        <c:crosses val="autoZero"/>
        <c:crossBetween val="midCat"/>
      </c:valAx>
      <c:valAx>
        <c:axId val="15348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% of Imorovment</a:t>
                </a:r>
                <a:r>
                  <a:rPr lang="en-US" sz="2000" baseline="0"/>
                  <a:t> 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7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8748295863112208E-2"/>
          <c:y val="0.12908470186105084"/>
          <c:w val="0.89999995571273927"/>
          <c:h val="6.679053173405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 Time as </a:t>
            </a:r>
            <a:r>
              <a:rPr lang="en-US" sz="2400" i="1"/>
              <a:t>K</a:t>
            </a:r>
            <a:r>
              <a:rPr lang="en-US" sz="2400"/>
              <a:t>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Runtimes!$F$55:$F$58</c:f>
              <c:numCache>
                <c:formatCode>General</c:formatCode>
                <c:ptCount val="4"/>
                <c:pt idx="0">
                  <c:v>0.97059999999999991</c:v>
                </c:pt>
                <c:pt idx="1">
                  <c:v>1.5190000000000001</c:v>
                </c:pt>
                <c:pt idx="2">
                  <c:v>2.0973999999999999</c:v>
                </c:pt>
                <c:pt idx="3">
                  <c:v>2.3555999999999999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E9-439A-9FBE-ABE432FB7353}"/>
            </c:ext>
          </c:extLst>
        </c:ser>
        <c:ser>
          <c:idx val="5"/>
          <c:order val="5"/>
          <c:tx>
            <c:strRef>
              <c:f>Runtimes!$G$54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Runtimes!$G$55:$G$58</c:f>
              <c:numCache>
                <c:formatCode>General</c:formatCode>
                <c:ptCount val="4"/>
                <c:pt idx="0">
                  <c:v>1.1941999999999999</c:v>
                </c:pt>
                <c:pt idx="1">
                  <c:v>1.4872000000000001</c:v>
                </c:pt>
                <c:pt idx="2">
                  <c:v>2.1905999999999999</c:v>
                </c:pt>
                <c:pt idx="3">
                  <c:v>2.7353999999999998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E9-439A-9FBE-ABE432FB7353}"/>
            </c:ext>
          </c:extLst>
        </c:ser>
        <c:ser>
          <c:idx val="6"/>
          <c:order val="6"/>
          <c:tx>
            <c:strRef>
              <c:f>Runtimes!$H$54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Runtimes!$H$55:$H$58</c:f>
              <c:numCache>
                <c:formatCode>General</c:formatCode>
                <c:ptCount val="4"/>
                <c:pt idx="0">
                  <c:v>1.7565999999999999</c:v>
                </c:pt>
                <c:pt idx="1">
                  <c:v>2.4645999999999999</c:v>
                </c:pt>
                <c:pt idx="2">
                  <c:v>2.7736000000000001</c:v>
                </c:pt>
                <c:pt idx="3">
                  <c:v>3.4652000000000003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6B-4EC5-9803-C9A5C0D889A2}"/>
            </c:ext>
          </c:extLst>
        </c:ser>
        <c:ser>
          <c:idx val="7"/>
          <c:order val="7"/>
          <c:tx>
            <c:strRef>
              <c:f>Runtimes!$I$54</c:f>
              <c:strCache>
                <c:ptCount val="1"/>
                <c:pt idx="0">
                  <c:v>Deep NUGP, ε = 534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Runtimes!$I$55:$I$58</c:f>
              <c:numCache>
                <c:formatCode>General</c:formatCode>
                <c:ptCount val="4"/>
                <c:pt idx="0">
                  <c:v>1.7050000000000001</c:v>
                </c:pt>
                <c:pt idx="1">
                  <c:v>2.3527999999999998</c:v>
                </c:pt>
                <c:pt idx="2">
                  <c:v>2.12</c:v>
                </c:pt>
                <c:pt idx="3">
                  <c:v>3.3335999999999997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6B-4EC5-9803-C9A5C0D8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31760"/>
        <c:axId val="14092327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Runtimes!$B$54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Runtimes!$B$55:$B$58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18.300000000000004</c:v>
                      </c:pt>
                      <c:pt idx="1">
                        <c:v>29.569400000000002</c:v>
                      </c:pt>
                      <c:pt idx="2">
                        <c:v>34.248400000000004</c:v>
                      </c:pt>
                      <c:pt idx="3">
                        <c:v>51.733399999999996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6E9-439A-9FBE-ABE432FB735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Runtimes!$C$55:$C$58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14.502599999999997</c:v>
                      </c:pt>
                      <c:pt idx="1">
                        <c:v>27.051200000000001</c:v>
                      </c:pt>
                      <c:pt idx="2">
                        <c:v>34.892399999999995</c:v>
                      </c:pt>
                      <c:pt idx="3">
                        <c:v>51.434000000000005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6E9-439A-9FBE-ABE432FB735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Runtimes!$D$55:$D$58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3.2534000000000001</c:v>
                      </c:pt>
                      <c:pt idx="1">
                        <c:v>3.1550000000000002</c:v>
                      </c:pt>
                      <c:pt idx="2">
                        <c:v>7.4138000000000002</c:v>
                      </c:pt>
                      <c:pt idx="3">
                        <c:v>5.6731999999999996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6E9-439A-9FBE-ABE432FB735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Runtimes!$E$55:$E$58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0.9052</c:v>
                      </c:pt>
                      <c:pt idx="1">
                        <c:v>1.1760000000000002</c:v>
                      </c:pt>
                      <c:pt idx="2">
                        <c:v>1.2914000000000001</c:v>
                      </c:pt>
                      <c:pt idx="3">
                        <c:v>1.3940000000000001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6E9-439A-9FBE-ABE432FB7353}"/>
                  </c:ext>
                </c:extLst>
              </c15:ser>
            </c15:filteredScatterSeries>
          </c:ext>
        </c:extLst>
      </c:scatterChart>
      <c:valAx>
        <c:axId val="140923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</a:t>
                </a:r>
                <a:r>
                  <a:rPr lang="en-US" sz="18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32720"/>
        <c:crosses val="autoZero"/>
        <c:crossBetween val="midCat"/>
      </c:valAx>
      <c:valAx>
        <c:axId val="14092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3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Mean Deviation Percentage from Desired Partition Size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CCM!$B$96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CCM!$B$97:$B$100</c:f>
              <c:numCache>
                <c:formatCode>0.00%</c:formatCode>
                <c:ptCount val="4"/>
                <c:pt idx="0">
                  <c:v>0.163248</c:v>
                </c:pt>
                <c:pt idx="1">
                  <c:v>0.28891600000000001</c:v>
                </c:pt>
                <c:pt idx="2">
                  <c:v>0.72233400000000003</c:v>
                </c:pt>
                <c:pt idx="3">
                  <c:v>3.019406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0A-4C8B-9AB7-24E5ACF4DE05}"/>
            </c:ext>
          </c:extLst>
        </c:ser>
        <c:ser>
          <c:idx val="1"/>
          <c:order val="1"/>
          <c:tx>
            <c:strRef>
              <c:f>CCM!$C$96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CCM!$C$97:$C$100</c:f>
              <c:numCache>
                <c:formatCode>0.00%</c:formatCode>
                <c:ptCount val="4"/>
                <c:pt idx="0">
                  <c:v>0.14726</c:v>
                </c:pt>
                <c:pt idx="1">
                  <c:v>0.285495</c:v>
                </c:pt>
                <c:pt idx="2">
                  <c:v>0.69786200000000009</c:v>
                </c:pt>
                <c:pt idx="3">
                  <c:v>2.9436909999999998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0A-4C8B-9AB7-24E5ACF4DE05}"/>
            </c:ext>
          </c:extLst>
        </c:ser>
        <c:ser>
          <c:idx val="3"/>
          <c:order val="3"/>
          <c:tx>
            <c:strRef>
              <c:f>CCM!$E$96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CCM!$E$97:$E$100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51-4BF7-BBCD-284ABD4CDDD8}"/>
            </c:ext>
          </c:extLst>
        </c:ser>
        <c:ser>
          <c:idx val="4"/>
          <c:order val="4"/>
          <c:tx>
            <c:strRef>
              <c:f>CCM!$F$96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CCM!$F$97:$F$100</c:f>
              <c:numCache>
                <c:formatCode>0.00%</c:formatCode>
                <c:ptCount val="4"/>
                <c:pt idx="0">
                  <c:v>0.10617259999999999</c:v>
                </c:pt>
                <c:pt idx="1">
                  <c:v>7.8771999999999995E-2</c:v>
                </c:pt>
                <c:pt idx="2">
                  <c:v>3.0726200000000002E-2</c:v>
                </c:pt>
                <c:pt idx="3">
                  <c:v>0.10128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51-4BF7-BBCD-284ABD4C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471584"/>
        <c:axId val="161046726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CCM!$D$96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CCM!$A$97:$A$100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CCM!$D$97:$D$100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1.8927999999999997E-2</c:v>
                      </c:pt>
                      <c:pt idx="3">
                        <c:v>0.27743780000000001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D0A-4C8B-9AB7-24E5ACF4DE05}"/>
                  </c:ext>
                </c:extLst>
              </c15:ser>
            </c15:filteredScatterSeries>
          </c:ext>
        </c:extLst>
      </c:scatterChart>
      <c:valAx>
        <c:axId val="161047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</a:t>
                </a:r>
                <a:r>
                  <a:rPr lang="en-US" sz="18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67264"/>
        <c:crosses val="autoZero"/>
        <c:crossBetween val="midCat"/>
      </c:valAx>
      <c:valAx>
        <c:axId val="16104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7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CCM, as K Varies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CCM!$B$88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CCM!$B$89:$B$92</c:f>
              <c:numCache>
                <c:formatCode>General</c:formatCode>
                <c:ptCount val="4"/>
                <c:pt idx="0">
                  <c:v>0.14455999999999999</c:v>
                </c:pt>
                <c:pt idx="1">
                  <c:v>0.26247999999999999</c:v>
                </c:pt>
                <c:pt idx="2">
                  <c:v>0.49659999999999993</c:v>
                </c:pt>
                <c:pt idx="3">
                  <c:v>0.85804000000000014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A-479B-8D1F-5D03AD3CBA93}"/>
            </c:ext>
          </c:extLst>
        </c:ser>
        <c:ser>
          <c:idx val="1"/>
          <c:order val="1"/>
          <c:tx>
            <c:strRef>
              <c:f>CCM!$C$88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CCM!$C$89:$C$92</c:f>
              <c:numCache>
                <c:formatCode>General</c:formatCode>
                <c:ptCount val="4"/>
                <c:pt idx="0">
                  <c:v>0.16008</c:v>
                </c:pt>
                <c:pt idx="1">
                  <c:v>0.27643999999999996</c:v>
                </c:pt>
                <c:pt idx="2">
                  <c:v>0.51260000000000006</c:v>
                </c:pt>
                <c:pt idx="3">
                  <c:v>0.87674000000000007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3A-479B-8D1F-5D03AD3CBA93}"/>
            </c:ext>
          </c:extLst>
        </c:ser>
        <c:ser>
          <c:idx val="3"/>
          <c:order val="3"/>
          <c:tx>
            <c:strRef>
              <c:f>CCM!$E$88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CCM!$E$89:$E$92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19-4B3F-9B27-BF037A474F75}"/>
            </c:ext>
          </c:extLst>
        </c:ser>
        <c:ser>
          <c:idx val="4"/>
          <c:order val="4"/>
          <c:tx>
            <c:strRef>
              <c:f>CCM!$F$88</c:f>
              <c:strCache>
                <c:ptCount val="1"/>
                <c:pt idx="0">
                  <c:v>Deep NUGP, ε =  534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CCM!$F$89:$F$92</c:f>
              <c:numCache>
                <c:formatCode>General</c:formatCode>
                <c:ptCount val="4"/>
                <c:pt idx="0">
                  <c:v>0.1</c:v>
                </c:pt>
                <c:pt idx="1">
                  <c:v>0.1197</c:v>
                </c:pt>
                <c:pt idx="2">
                  <c:v>3.4160000000000003E-2</c:v>
                </c:pt>
                <c:pt idx="3">
                  <c:v>6.7047999999999996E-2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19-4B3F-9B27-BF037A474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95616"/>
        <c:axId val="153399801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CCM!$D$88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CCM!$A$89:$A$92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 formatCode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CCM!$D$89:$D$92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6.0600000000000003E-3</c:v>
                      </c:pt>
                      <c:pt idx="3">
                        <c:v>6.1968000000000002E-2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C3A-479B-8D1F-5D03AD3CBA93}"/>
                  </c:ext>
                </c:extLst>
              </c15:ser>
            </c15:filteredScatterSeries>
          </c:ext>
        </c:extLst>
      </c:scatterChart>
      <c:valAx>
        <c:axId val="153399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98016"/>
        <c:crosses val="autoZero"/>
        <c:crossBetween val="midCat"/>
      </c:valAx>
      <c:valAx>
        <c:axId val="15339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Percentage of Decline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9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CCM, as K Varies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CCM!$J$87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CCM!$I$88:$I$91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CCM!$J$88:$J$91</c:f>
              <c:numCache>
                <c:formatCode>0%</c:formatCode>
                <c:ptCount val="4"/>
                <c:pt idx="0">
                  <c:v>0.14455999999999999</c:v>
                </c:pt>
                <c:pt idx="1">
                  <c:v>0.26247999999999999</c:v>
                </c:pt>
                <c:pt idx="2">
                  <c:v>0.49659999999999993</c:v>
                </c:pt>
                <c:pt idx="3">
                  <c:v>0.85804000000000014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8F-40BF-A5D9-1D262D63D0D2}"/>
            </c:ext>
          </c:extLst>
        </c:ser>
        <c:ser>
          <c:idx val="1"/>
          <c:order val="1"/>
          <c:tx>
            <c:strRef>
              <c:f>CCM!$K$87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CCM!$I$88:$I$91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CCM!$K$88:$K$91</c:f>
              <c:numCache>
                <c:formatCode>0%</c:formatCode>
                <c:ptCount val="4"/>
                <c:pt idx="0">
                  <c:v>0.16008</c:v>
                </c:pt>
                <c:pt idx="1">
                  <c:v>0.27643999999999996</c:v>
                </c:pt>
                <c:pt idx="2">
                  <c:v>0.51260000000000006</c:v>
                </c:pt>
                <c:pt idx="3">
                  <c:v>0.87674000000000007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8F-40BF-A5D9-1D262D63D0D2}"/>
            </c:ext>
          </c:extLst>
        </c:ser>
        <c:ser>
          <c:idx val="2"/>
          <c:order val="2"/>
          <c:tx>
            <c:strRef>
              <c:f>CCM!$L$87</c:f>
              <c:strCache>
                <c:ptCount val="1"/>
                <c:pt idx="0">
                  <c:v>Deep NUGP, ε= 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CCM!$I$88:$I$91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CCM!$L$88:$L$91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8F-40BF-A5D9-1D262D63D0D2}"/>
            </c:ext>
          </c:extLst>
        </c:ser>
        <c:ser>
          <c:idx val="3"/>
          <c:order val="3"/>
          <c:tx>
            <c:strRef>
              <c:f>CCM!$M$87</c:f>
              <c:strCache>
                <c:ptCount val="1"/>
                <c:pt idx="0">
                  <c:v>Deep NUGP, ε =  534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CCM!$I$88:$I$91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CCM!$M$88:$M$91</c:f>
              <c:numCache>
                <c:formatCode>0%</c:formatCode>
                <c:ptCount val="4"/>
                <c:pt idx="0">
                  <c:v>5.2207999999999997E-2</c:v>
                </c:pt>
                <c:pt idx="1">
                  <c:v>4.4740000000000002E-2</c:v>
                </c:pt>
                <c:pt idx="2">
                  <c:v>3.4160000000000003E-2</c:v>
                </c:pt>
                <c:pt idx="3">
                  <c:v>6.4948000000000006E-2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8F-40BF-A5D9-1D262D63D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77663"/>
        <c:axId val="1642492063"/>
      </c:scatterChart>
      <c:valAx>
        <c:axId val="164247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</a:t>
                </a:r>
                <a:r>
                  <a:rPr lang="en-US" sz="18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92063"/>
        <c:crosses val="autoZero"/>
        <c:crossBetween val="midCat"/>
      </c:valAx>
      <c:valAx>
        <c:axId val="16424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7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Contiguity!$F$51:$F$54</c:f>
              <c:numCache>
                <c:formatCode>General</c:formatCode>
                <c:ptCount val="4"/>
                <c:pt idx="0">
                  <c:v>5.2</c:v>
                </c:pt>
                <c:pt idx="1">
                  <c:v>18</c:v>
                </c:pt>
                <c:pt idx="2">
                  <c:v>46.4</c:v>
                </c:pt>
                <c:pt idx="3">
                  <c:v>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37-4A94-B953-F709B2F8B137}"/>
            </c:ext>
          </c:extLst>
        </c:ser>
        <c:ser>
          <c:idx val="5"/>
          <c:order val="5"/>
          <c:tx>
            <c:strRef>
              <c:f>Contiguity!$G$50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Contiguity!$G$51:$G$54</c:f>
              <c:numCache>
                <c:formatCode>General</c:formatCode>
                <c:ptCount val="4"/>
                <c:pt idx="0">
                  <c:v>53</c:v>
                </c:pt>
                <c:pt idx="1">
                  <c:v>44</c:v>
                </c:pt>
                <c:pt idx="2">
                  <c:v>201.2</c:v>
                </c:pt>
                <c:pt idx="3">
                  <c:v>113.2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37-4A94-B953-F709B2F8B137}"/>
            </c:ext>
          </c:extLst>
        </c:ser>
        <c:ser>
          <c:idx val="6"/>
          <c:order val="6"/>
          <c:tx>
            <c:strRef>
              <c:f>Contiguity!$H$50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Contiguity!$H$51:$H$54</c:f>
              <c:numCache>
                <c:formatCode>General</c:formatCode>
                <c:ptCount val="4"/>
                <c:pt idx="0">
                  <c:v>11.4</c:v>
                </c:pt>
                <c:pt idx="1">
                  <c:v>65.400000000000006</c:v>
                </c:pt>
                <c:pt idx="2">
                  <c:v>63</c:v>
                </c:pt>
                <c:pt idx="3">
                  <c:v>129.80000000000001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34-450C-85AA-F218E8675C56}"/>
            </c:ext>
          </c:extLst>
        </c:ser>
        <c:ser>
          <c:idx val="7"/>
          <c:order val="7"/>
          <c:tx>
            <c:strRef>
              <c:f>Contiguity!$I$50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Contiguity!$I$51:$I$54</c:f>
              <c:numCache>
                <c:formatCode>General</c:formatCode>
                <c:ptCount val="4"/>
                <c:pt idx="0">
                  <c:v>14.2</c:v>
                </c:pt>
                <c:pt idx="1">
                  <c:v>70.8</c:v>
                </c:pt>
                <c:pt idx="2">
                  <c:v>103.8</c:v>
                </c:pt>
                <c:pt idx="3">
                  <c:v>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34-450C-85AA-F218E867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89376"/>
        <c:axId val="15339922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34.799999999999997</c:v>
                      </c:pt>
                      <c:pt idx="1">
                        <c:v>326.2</c:v>
                      </c:pt>
                      <c:pt idx="2">
                        <c:v>1866.8</c:v>
                      </c:pt>
                      <c:pt idx="3">
                        <c:v>3757.4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E37-4A94-B953-F709B2F8B13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43</c:v>
                      </c:pt>
                      <c:pt idx="1">
                        <c:v>483.4</c:v>
                      </c:pt>
                      <c:pt idx="2">
                        <c:v>550.79999999999995</c:v>
                      </c:pt>
                      <c:pt idx="3">
                        <c:v>1364.4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E37-4A94-B953-F709B2F8B13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851.6</c:v>
                      </c:pt>
                      <c:pt idx="1">
                        <c:v>1665.4</c:v>
                      </c:pt>
                      <c:pt idx="2">
                        <c:v>3395.2</c:v>
                      </c:pt>
                      <c:pt idx="3">
                        <c:v>3685.4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37-4A94-B953-F709B2F8B13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846.6</c:v>
                      </c:pt>
                      <c:pt idx="1">
                        <c:v>1030.5999999999999</c:v>
                      </c:pt>
                      <c:pt idx="2">
                        <c:v>1175.8</c:v>
                      </c:pt>
                      <c:pt idx="3">
                        <c:v>1111.4000000000001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37-4A94-B953-F709B2F8B137}"/>
                  </c:ext>
                </c:extLst>
              </c15:ser>
            </c15:filteredScatterSeries>
          </c:ext>
        </c:extLst>
      </c:scatterChart>
      <c:valAx>
        <c:axId val="15339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</a:t>
                </a:r>
                <a:r>
                  <a:rPr lang="en-US" sz="18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92256"/>
        <c:crosses val="autoZero"/>
        <c:crossBetween val="midCat"/>
      </c:valAx>
      <c:valAx>
        <c:axId val="15339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8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1542769</xdr:colOff>
      <xdr:row>62</xdr:row>
      <xdr:rowOff>63030</xdr:rowOff>
    </xdr:from>
    <xdr:to>
      <xdr:col>4</xdr:col>
      <xdr:colOff>1983440</xdr:colOff>
      <xdr:row>85</xdr:row>
      <xdr:rowOff>56027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11595-4D5E-8834-AA82-E04B4FEDF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240925</xdr:colOff>
      <xdr:row>63</xdr:row>
      <xdr:rowOff>135591</xdr:rowOff>
    </xdr:from>
    <xdr:to>
      <xdr:col>13</xdr:col>
      <xdr:colOff>224117</xdr:colOff>
      <xdr:row>86</xdr:row>
      <xdr:rowOff>112059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B511DB-23B3-B2D5-81E0-72F0F98BA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135390</xdr:colOff>
      <xdr:row>65</xdr:row>
      <xdr:rowOff>64634</xdr:rowOff>
    </xdr:from>
    <xdr:to>
      <xdr:col>8</xdr:col>
      <xdr:colOff>381000</xdr:colOff>
      <xdr:row>88</xdr:row>
      <xdr:rowOff>81644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B8F92-55EB-D953-E4A7-CF974AA9A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394608</xdr:colOff>
      <xdr:row>102</xdr:row>
      <xdr:rowOff>135389</xdr:rowOff>
    </xdr:from>
    <xdr:to>
      <xdr:col>21</xdr:col>
      <xdr:colOff>470129</xdr:colOff>
      <xdr:row>125</xdr:row>
      <xdr:rowOff>140153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FA6063-746F-1425-3A7F-1B87C3504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800781</xdr:colOff>
      <xdr:row>103</xdr:row>
      <xdr:rowOff>79601</xdr:rowOff>
    </xdr:from>
    <xdr:to>
      <xdr:col>9</xdr:col>
      <xdr:colOff>68037</xdr:colOff>
      <xdr:row>126</xdr:row>
      <xdr:rowOff>136071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CB80EF-6BAE-997E-2BA5-F5B961668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789216</xdr:colOff>
      <xdr:row>128</xdr:row>
      <xdr:rowOff>179616</xdr:rowOff>
    </xdr:from>
    <xdr:to>
      <xdr:col>9</xdr:col>
      <xdr:colOff>68036</xdr:colOff>
      <xdr:row>152</xdr:row>
      <xdr:rowOff>40821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03D63-F545-C142-FAB4-46CFDA2F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228601</xdr:colOff>
      <xdr:row>58</xdr:row>
      <xdr:rowOff>71436</xdr:rowOff>
    </xdr:from>
    <xdr:to>
      <xdr:col>15</xdr:col>
      <xdr:colOff>371474</xdr:colOff>
      <xdr:row>81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F259C-DFFC-AA7E-14DE-2BA86F16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50" zoomScale="85" zoomScaleNormal="85" workbookViewId="0">
      <selection activeCell="H57" sqref="H57:L61"/>
    </sheetView>
  </sheetViews>
  <sheetFormatPr defaultRowHeight="15" x14ac:dyDescent="0.25"/>
  <cols>
    <col min="1" max="1" width="8" bestFit="1" customWidth="1"/>
    <col min="2" max="2" width="24.28515625" bestFit="1" customWidth="1"/>
    <col min="3" max="3" width="32.5703125" customWidth="1"/>
    <col min="4" max="4" width="38.28515625" bestFit="1" customWidth="1"/>
    <col min="5" max="5" width="35.42578125" bestFit="1" customWidth="1"/>
    <col min="6" max="6" width="9.5703125" bestFit="1" customWidth="1"/>
    <col min="8" max="8" width="21.85546875" bestFit="1" customWidth="1"/>
    <col min="9" max="9" width="23.28515625" bestFit="1" customWidth="1"/>
    <col min="11" max="12" width="9.85546875" bestFit="1" customWidth="1"/>
  </cols>
  <sheetData>
    <row r="1" spans="1:9" x14ac:dyDescent="0.25">
      <c r="C1" t="s">
        <v>11</v>
      </c>
    </row>
    <row r="2" spans="1:9" x14ac:dyDescent="0.25">
      <c r="A2" s="14" t="s">
        <v>18</v>
      </c>
      <c r="B2" s="14"/>
      <c r="C2" s="14"/>
      <c r="D2" s="14"/>
      <c r="E2" s="14"/>
      <c r="F2" s="14"/>
      <c r="G2" s="14"/>
    </row>
    <row r="3" spans="1:9" x14ac:dyDescent="0.25">
      <c r="A3" s="15" t="s">
        <v>12</v>
      </c>
      <c r="B3" s="15"/>
      <c r="C3" s="15"/>
      <c r="D3" s="15"/>
      <c r="E3" s="15"/>
      <c r="F3" s="15"/>
      <c r="G3" s="15"/>
    </row>
    <row r="4" spans="1:9" ht="32.25" customHeight="1" x14ac:dyDescent="0.25">
      <c r="A4" s="2"/>
      <c r="B4" s="1" t="s">
        <v>6</v>
      </c>
      <c r="C4" s="3" t="s">
        <v>7</v>
      </c>
      <c r="D4" s="1" t="s">
        <v>8</v>
      </c>
      <c r="E4" s="3" t="s">
        <v>9</v>
      </c>
      <c r="F4" s="1" t="s">
        <v>0</v>
      </c>
      <c r="G4" s="1" t="s">
        <v>10</v>
      </c>
      <c r="H4" s="11" t="s">
        <v>24</v>
      </c>
      <c r="I4" s="12" t="s">
        <v>28</v>
      </c>
    </row>
    <row r="5" spans="1:9" x14ac:dyDescent="0.25">
      <c r="A5" s="1" t="s">
        <v>1</v>
      </c>
      <c r="B5">
        <v>1632</v>
      </c>
      <c r="C5">
        <v>1654</v>
      </c>
      <c r="D5">
        <v>3051</v>
      </c>
      <c r="E5">
        <v>2907</v>
      </c>
      <c r="F5">
        <v>377</v>
      </c>
      <c r="G5">
        <v>664</v>
      </c>
      <c r="H5">
        <v>467</v>
      </c>
      <c r="I5">
        <v>436</v>
      </c>
    </row>
    <row r="6" spans="1:9" x14ac:dyDescent="0.25">
      <c r="A6" s="1" t="s">
        <v>2</v>
      </c>
      <c r="B6">
        <v>2421</v>
      </c>
      <c r="C6">
        <v>1587</v>
      </c>
      <c r="D6">
        <v>2925</v>
      </c>
      <c r="E6">
        <v>3300</v>
      </c>
      <c r="F6">
        <v>393</v>
      </c>
      <c r="G6">
        <v>628</v>
      </c>
      <c r="H6">
        <v>456</v>
      </c>
      <c r="I6">
        <v>455</v>
      </c>
    </row>
    <row r="7" spans="1:9" x14ac:dyDescent="0.25">
      <c r="A7" s="1" t="s">
        <v>3</v>
      </c>
      <c r="B7">
        <v>1769</v>
      </c>
      <c r="C7">
        <v>2037</v>
      </c>
      <c r="D7">
        <v>2992</v>
      </c>
      <c r="E7">
        <v>3201</v>
      </c>
      <c r="F7">
        <v>411</v>
      </c>
      <c r="G7">
        <v>602</v>
      </c>
      <c r="H7">
        <v>413</v>
      </c>
      <c r="I7">
        <v>412</v>
      </c>
    </row>
    <row r="8" spans="1:9" x14ac:dyDescent="0.25">
      <c r="A8" s="1" t="s">
        <v>4</v>
      </c>
      <c r="B8">
        <v>2412</v>
      </c>
      <c r="C8">
        <v>2102</v>
      </c>
      <c r="D8">
        <v>3225</v>
      </c>
      <c r="E8">
        <v>3185</v>
      </c>
      <c r="F8">
        <v>414</v>
      </c>
      <c r="G8">
        <v>591</v>
      </c>
      <c r="H8">
        <v>489</v>
      </c>
      <c r="I8">
        <v>380</v>
      </c>
    </row>
    <row r="9" spans="1:9" x14ac:dyDescent="0.25">
      <c r="A9" s="1" t="s">
        <v>5</v>
      </c>
      <c r="B9">
        <v>1507</v>
      </c>
      <c r="C9">
        <v>1693</v>
      </c>
      <c r="D9">
        <v>3399</v>
      </c>
      <c r="E9">
        <v>2883</v>
      </c>
      <c r="F9">
        <v>443</v>
      </c>
      <c r="G9">
        <v>598</v>
      </c>
      <c r="H9">
        <v>430</v>
      </c>
      <c r="I9">
        <v>429</v>
      </c>
    </row>
    <row r="12" spans="1:9" x14ac:dyDescent="0.25">
      <c r="C12" t="s">
        <v>11</v>
      </c>
    </row>
    <row r="13" spans="1:9" x14ac:dyDescent="0.25">
      <c r="A13" s="14" t="s">
        <v>19</v>
      </c>
      <c r="B13" s="14"/>
      <c r="C13" s="14"/>
      <c r="D13" s="14"/>
      <c r="E13" s="14"/>
      <c r="F13" s="14"/>
      <c r="G13" s="14"/>
    </row>
    <row r="14" spans="1:9" x14ac:dyDescent="0.25">
      <c r="A14" s="15" t="s">
        <v>12</v>
      </c>
      <c r="B14" s="15"/>
      <c r="C14" s="15"/>
      <c r="D14" s="15"/>
      <c r="E14" s="15"/>
      <c r="F14" s="15"/>
      <c r="G14" s="15"/>
    </row>
    <row r="15" spans="1:9" ht="30" x14ac:dyDescent="0.25">
      <c r="A15" s="2"/>
      <c r="B15" s="1" t="s">
        <v>6</v>
      </c>
      <c r="C15" s="3" t="s">
        <v>7</v>
      </c>
      <c r="D15" s="1" t="s">
        <v>8</v>
      </c>
      <c r="E15" s="3" t="s">
        <v>9</v>
      </c>
      <c r="F15" s="1" t="s">
        <v>0</v>
      </c>
      <c r="G15" s="1" t="s">
        <v>10</v>
      </c>
      <c r="H15" s="11" t="s">
        <v>24</v>
      </c>
      <c r="I15" s="12" t="s">
        <v>28</v>
      </c>
    </row>
    <row r="16" spans="1:9" x14ac:dyDescent="0.25">
      <c r="A16" s="1" t="s">
        <v>1</v>
      </c>
      <c r="B16">
        <v>3755</v>
      </c>
      <c r="C16">
        <v>3685</v>
      </c>
      <c r="D16">
        <v>5747</v>
      </c>
      <c r="E16">
        <v>4273</v>
      </c>
      <c r="F16">
        <v>772</v>
      </c>
      <c r="G16">
        <v>811</v>
      </c>
      <c r="H16">
        <v>821</v>
      </c>
      <c r="I16">
        <v>764</v>
      </c>
    </row>
    <row r="17" spans="1:9" x14ac:dyDescent="0.25">
      <c r="A17" s="1" t="s">
        <v>2</v>
      </c>
      <c r="B17">
        <v>3909</v>
      </c>
      <c r="C17">
        <v>4019</v>
      </c>
      <c r="D17">
        <v>5640</v>
      </c>
      <c r="E17">
        <v>4738</v>
      </c>
      <c r="F17">
        <v>760</v>
      </c>
      <c r="G17">
        <v>961</v>
      </c>
      <c r="H17">
        <v>932</v>
      </c>
      <c r="I17">
        <v>719</v>
      </c>
    </row>
    <row r="18" spans="1:9" x14ac:dyDescent="0.25">
      <c r="A18" s="1" t="s">
        <v>3</v>
      </c>
      <c r="B18">
        <v>3466</v>
      </c>
      <c r="C18">
        <v>3216</v>
      </c>
      <c r="D18">
        <v>7361</v>
      </c>
      <c r="E18">
        <v>4941</v>
      </c>
      <c r="F18">
        <v>760</v>
      </c>
      <c r="G18">
        <v>954</v>
      </c>
      <c r="H18">
        <v>869</v>
      </c>
      <c r="I18">
        <v>806</v>
      </c>
    </row>
    <row r="19" spans="1:9" x14ac:dyDescent="0.25">
      <c r="A19" s="1" t="s">
        <v>4</v>
      </c>
      <c r="B19">
        <v>3461</v>
      </c>
      <c r="C19">
        <v>4182</v>
      </c>
      <c r="D19">
        <v>4852</v>
      </c>
      <c r="E19">
        <v>4526</v>
      </c>
      <c r="F19">
        <v>743</v>
      </c>
      <c r="G19">
        <v>955</v>
      </c>
      <c r="H19">
        <v>803</v>
      </c>
      <c r="I19">
        <v>747</v>
      </c>
    </row>
    <row r="20" spans="1:9" x14ac:dyDescent="0.25">
      <c r="A20" s="1" t="s">
        <v>5</v>
      </c>
      <c r="B20">
        <v>3714</v>
      </c>
      <c r="C20">
        <v>2878</v>
      </c>
      <c r="D20">
        <v>4019</v>
      </c>
      <c r="E20">
        <v>4710</v>
      </c>
      <c r="F20">
        <v>742</v>
      </c>
      <c r="G20">
        <v>857</v>
      </c>
      <c r="H20">
        <v>702</v>
      </c>
      <c r="I20">
        <v>761</v>
      </c>
    </row>
    <row r="24" spans="1:9" x14ac:dyDescent="0.25">
      <c r="A24" s="14" t="s">
        <v>20</v>
      </c>
      <c r="B24" s="14"/>
      <c r="C24" s="14"/>
      <c r="D24" s="14"/>
      <c r="E24" s="14"/>
      <c r="F24" s="14"/>
      <c r="G24" s="14"/>
    </row>
    <row r="25" spans="1:9" x14ac:dyDescent="0.25">
      <c r="A25" s="15" t="s">
        <v>12</v>
      </c>
      <c r="B25" s="15"/>
      <c r="C25" s="15"/>
      <c r="D25" s="15"/>
      <c r="E25" s="15"/>
      <c r="F25" s="15"/>
      <c r="G25" s="15"/>
    </row>
    <row r="26" spans="1:9" ht="30" x14ac:dyDescent="0.25">
      <c r="A26" s="2"/>
      <c r="B26" s="1" t="s">
        <v>6</v>
      </c>
      <c r="C26" s="3" t="s">
        <v>7</v>
      </c>
      <c r="D26" s="1" t="s">
        <v>8</v>
      </c>
      <c r="E26" s="3" t="s">
        <v>9</v>
      </c>
      <c r="F26" s="1" t="s">
        <v>0</v>
      </c>
      <c r="G26" s="1" t="s">
        <v>10</v>
      </c>
      <c r="H26" s="11" t="s">
        <v>24</v>
      </c>
      <c r="I26" s="12" t="s">
        <v>29</v>
      </c>
    </row>
    <row r="27" spans="1:9" x14ac:dyDescent="0.25">
      <c r="A27" s="1" t="s">
        <v>1</v>
      </c>
      <c r="B27">
        <v>5713</v>
      </c>
      <c r="C27">
        <v>5288</v>
      </c>
      <c r="D27">
        <v>8926</v>
      </c>
      <c r="E27">
        <v>5711</v>
      </c>
      <c r="F27">
        <v>1152</v>
      </c>
      <c r="G27">
        <v>1630</v>
      </c>
      <c r="H27">
        <v>1574</v>
      </c>
      <c r="I27">
        <v>1203</v>
      </c>
    </row>
    <row r="28" spans="1:9" x14ac:dyDescent="0.25">
      <c r="A28" s="1" t="s">
        <v>2</v>
      </c>
      <c r="B28">
        <v>7167</v>
      </c>
      <c r="C28">
        <v>4034</v>
      </c>
      <c r="D28">
        <v>8810</v>
      </c>
      <c r="E28">
        <v>6205</v>
      </c>
      <c r="F28">
        <v>1146</v>
      </c>
      <c r="G28">
        <v>1293</v>
      </c>
      <c r="H28">
        <v>1394</v>
      </c>
      <c r="I28">
        <v>1198</v>
      </c>
    </row>
    <row r="29" spans="1:9" x14ac:dyDescent="0.25">
      <c r="A29" s="1" t="s">
        <v>3</v>
      </c>
      <c r="B29">
        <v>5865</v>
      </c>
      <c r="C29">
        <v>4852</v>
      </c>
      <c r="D29">
        <v>8435</v>
      </c>
      <c r="E29">
        <v>5961</v>
      </c>
      <c r="F29">
        <v>1117</v>
      </c>
      <c r="G29">
        <v>1450</v>
      </c>
      <c r="H29">
        <v>1348</v>
      </c>
      <c r="I29">
        <v>1142</v>
      </c>
    </row>
    <row r="30" spans="1:9" x14ac:dyDescent="0.25">
      <c r="A30" s="1" t="s">
        <v>4</v>
      </c>
      <c r="B30">
        <v>6907</v>
      </c>
      <c r="C30">
        <v>3719</v>
      </c>
      <c r="D30">
        <v>8774</v>
      </c>
      <c r="E30">
        <v>5947</v>
      </c>
      <c r="F30">
        <v>1151</v>
      </c>
      <c r="G30">
        <v>1465</v>
      </c>
      <c r="H30">
        <v>1269</v>
      </c>
      <c r="I30">
        <v>1256</v>
      </c>
    </row>
    <row r="31" spans="1:9" x14ac:dyDescent="0.25">
      <c r="A31" s="1" t="s">
        <v>5</v>
      </c>
      <c r="B31">
        <v>6493</v>
      </c>
      <c r="C31">
        <v>4318</v>
      </c>
      <c r="D31">
        <v>10252</v>
      </c>
      <c r="E31">
        <v>5323</v>
      </c>
      <c r="F31">
        <v>1131</v>
      </c>
      <c r="G31">
        <v>1418</v>
      </c>
      <c r="H31">
        <v>1435</v>
      </c>
      <c r="I31">
        <v>1314</v>
      </c>
    </row>
    <row r="35" spans="1:9" x14ac:dyDescent="0.25">
      <c r="A35" s="14" t="s">
        <v>21</v>
      </c>
      <c r="B35" s="14"/>
      <c r="C35" s="14"/>
      <c r="D35" s="14"/>
      <c r="E35" s="14"/>
      <c r="F35" s="14"/>
      <c r="G35" s="14"/>
    </row>
    <row r="36" spans="1:9" x14ac:dyDescent="0.25">
      <c r="A36" s="15" t="s">
        <v>12</v>
      </c>
      <c r="B36" s="15"/>
      <c r="C36" s="15"/>
      <c r="D36" s="15"/>
      <c r="E36" s="15"/>
      <c r="F36" s="15"/>
      <c r="G36" s="15"/>
    </row>
    <row r="37" spans="1:9" ht="30" x14ac:dyDescent="0.25">
      <c r="A37" s="2"/>
      <c r="B37" s="1" t="s">
        <v>6</v>
      </c>
      <c r="C37" s="3" t="s">
        <v>7</v>
      </c>
      <c r="D37" s="1" t="s">
        <v>8</v>
      </c>
      <c r="E37" s="3" t="s">
        <v>9</v>
      </c>
      <c r="F37" s="1" t="s">
        <v>0</v>
      </c>
      <c r="G37" s="1" t="s">
        <v>10</v>
      </c>
      <c r="H37" s="11" t="s">
        <v>24</v>
      </c>
      <c r="I37" s="12" t="s">
        <v>30</v>
      </c>
    </row>
    <row r="38" spans="1:9" x14ac:dyDescent="0.25">
      <c r="A38" s="1" t="s">
        <v>1</v>
      </c>
      <c r="B38">
        <v>10712</v>
      </c>
      <c r="C38">
        <v>4865</v>
      </c>
      <c r="D38">
        <v>7748</v>
      </c>
      <c r="E38">
        <v>4894</v>
      </c>
      <c r="F38">
        <v>1640</v>
      </c>
      <c r="G38">
        <v>1720</v>
      </c>
      <c r="H38">
        <v>1865</v>
      </c>
      <c r="I38">
        <v>1688</v>
      </c>
    </row>
    <row r="39" spans="1:9" x14ac:dyDescent="0.25">
      <c r="A39" s="1" t="s">
        <v>2</v>
      </c>
      <c r="B39">
        <v>7807</v>
      </c>
      <c r="C39">
        <v>5573</v>
      </c>
      <c r="D39">
        <v>9459</v>
      </c>
      <c r="E39">
        <v>5770</v>
      </c>
      <c r="F39">
        <v>1614</v>
      </c>
      <c r="G39">
        <v>1724</v>
      </c>
      <c r="H39">
        <v>1953</v>
      </c>
      <c r="I39">
        <v>1704</v>
      </c>
    </row>
    <row r="40" spans="1:9" x14ac:dyDescent="0.25">
      <c r="A40" s="1" t="s">
        <v>3</v>
      </c>
      <c r="B40">
        <v>10684</v>
      </c>
      <c r="C40">
        <v>6898</v>
      </c>
      <c r="D40">
        <v>9067</v>
      </c>
      <c r="E40">
        <v>5064</v>
      </c>
      <c r="F40">
        <v>1591</v>
      </c>
      <c r="G40">
        <v>1728</v>
      </c>
      <c r="H40">
        <v>1797</v>
      </c>
      <c r="I40">
        <v>1765</v>
      </c>
    </row>
    <row r="41" spans="1:9" x14ac:dyDescent="0.25">
      <c r="A41" s="1" t="s">
        <v>4</v>
      </c>
      <c r="B41">
        <v>10281</v>
      </c>
      <c r="C41">
        <v>5836</v>
      </c>
      <c r="D41">
        <v>9157</v>
      </c>
      <c r="E41">
        <v>5903</v>
      </c>
      <c r="F41">
        <v>1672</v>
      </c>
      <c r="G41">
        <v>1693</v>
      </c>
      <c r="H41">
        <v>1802</v>
      </c>
      <c r="I41">
        <v>1782</v>
      </c>
    </row>
    <row r="42" spans="1:9" x14ac:dyDescent="0.25">
      <c r="A42" s="1" t="s">
        <v>5</v>
      </c>
      <c r="B42">
        <v>8025</v>
      </c>
      <c r="C42">
        <v>6972</v>
      </c>
      <c r="D42">
        <v>10156</v>
      </c>
      <c r="E42">
        <v>4568</v>
      </c>
      <c r="F42">
        <v>1704</v>
      </c>
      <c r="G42">
        <v>1759</v>
      </c>
      <c r="H42">
        <v>1709</v>
      </c>
      <c r="I42">
        <v>1718</v>
      </c>
    </row>
    <row r="47" spans="1:9" x14ac:dyDescent="0.25">
      <c r="A47" s="16" t="s">
        <v>22</v>
      </c>
      <c r="B47" s="16"/>
      <c r="C47" s="16"/>
      <c r="D47" s="16"/>
      <c r="E47" s="16"/>
      <c r="F47" s="16"/>
      <c r="G47" s="16"/>
    </row>
    <row r="48" spans="1:9" ht="30" x14ac:dyDescent="0.25">
      <c r="A48" s="2"/>
      <c r="B48" s="1" t="s">
        <v>6</v>
      </c>
      <c r="C48" s="3" t="s">
        <v>7</v>
      </c>
      <c r="D48" s="1" t="s">
        <v>8</v>
      </c>
      <c r="E48" s="3" t="s">
        <v>9</v>
      </c>
      <c r="F48" s="1" t="s">
        <v>0</v>
      </c>
      <c r="G48" s="1" t="s">
        <v>10</v>
      </c>
      <c r="H48" s="11" t="s">
        <v>24</v>
      </c>
      <c r="I48" s="12" t="s">
        <v>28</v>
      </c>
    </row>
    <row r="49" spans="1:12" x14ac:dyDescent="0.25">
      <c r="A49" s="1">
        <v>2</v>
      </c>
      <c r="B49">
        <f t="shared" ref="B49:G49" si="0">AVERAGE(B5:B9)</f>
        <v>1948.2</v>
      </c>
      <c r="C49">
        <f t="shared" si="0"/>
        <v>1814.6</v>
      </c>
      <c r="D49">
        <f t="shared" si="0"/>
        <v>3118.4</v>
      </c>
      <c r="E49">
        <f t="shared" si="0"/>
        <v>3095.2</v>
      </c>
      <c r="F49">
        <f t="shared" si="0"/>
        <v>407.6</v>
      </c>
      <c r="G49">
        <f t="shared" si="0"/>
        <v>616.6</v>
      </c>
      <c r="H49">
        <f>AVERAGE(H5:H9)</f>
        <v>451</v>
      </c>
      <c r="I49">
        <f>AVERAGE(I5:I9)</f>
        <v>422.4</v>
      </c>
    </row>
    <row r="50" spans="1:12" x14ac:dyDescent="0.25">
      <c r="A50" s="1">
        <v>4</v>
      </c>
      <c r="B50">
        <f t="shared" ref="B50:G50" si="1">AVERAGE(B16:B20)</f>
        <v>3661</v>
      </c>
      <c r="C50">
        <f t="shared" si="1"/>
        <v>3596</v>
      </c>
      <c r="D50">
        <f t="shared" si="1"/>
        <v>5523.8</v>
      </c>
      <c r="E50">
        <f t="shared" si="1"/>
        <v>4637.6000000000004</v>
      </c>
      <c r="F50">
        <f t="shared" si="1"/>
        <v>755.4</v>
      </c>
      <c r="G50">
        <f t="shared" si="1"/>
        <v>907.6</v>
      </c>
      <c r="H50">
        <f>AVERAGE(H16:H20)</f>
        <v>825.4</v>
      </c>
      <c r="I50">
        <f>AVERAGE(I16:I20)</f>
        <v>759.4</v>
      </c>
    </row>
    <row r="51" spans="1:12" x14ac:dyDescent="0.25">
      <c r="A51" s="1">
        <v>8</v>
      </c>
      <c r="B51">
        <f>AVERAGE(B27:B31)</f>
        <v>6429</v>
      </c>
      <c r="C51">
        <f t="shared" ref="C51:G51" si="2">AVERAGE(C27:C31)</f>
        <v>4442.2</v>
      </c>
      <c r="D51">
        <f t="shared" si="2"/>
        <v>9039.4</v>
      </c>
      <c r="E51">
        <f t="shared" si="2"/>
        <v>5829.4</v>
      </c>
      <c r="F51">
        <f t="shared" si="2"/>
        <v>1139.4000000000001</v>
      </c>
      <c r="G51">
        <f t="shared" si="2"/>
        <v>1451.2</v>
      </c>
      <c r="H51">
        <f>AVERAGE(H27:H31)</f>
        <v>1404</v>
      </c>
      <c r="I51">
        <f>AVERAGE(I27:I31)</f>
        <v>1222.5999999999999</v>
      </c>
    </row>
    <row r="52" spans="1:12" x14ac:dyDescent="0.25">
      <c r="A52" s="1">
        <v>16</v>
      </c>
      <c r="B52">
        <f t="shared" ref="B52:G52" si="3">AVERAGE(B38:B42)</f>
        <v>9501.7999999999993</v>
      </c>
      <c r="C52">
        <f t="shared" si="3"/>
        <v>6028.8</v>
      </c>
      <c r="D52">
        <f t="shared" si="3"/>
        <v>9117.4</v>
      </c>
      <c r="E52">
        <f t="shared" si="3"/>
        <v>5239.8</v>
      </c>
      <c r="F52">
        <f t="shared" si="3"/>
        <v>1644.2</v>
      </c>
      <c r="G52">
        <f t="shared" si="3"/>
        <v>1724.8</v>
      </c>
      <c r="H52">
        <f>AVERAGE(H38:H42)</f>
        <v>1825.2</v>
      </c>
      <c r="I52">
        <f>AVERAGE(I38:I42)</f>
        <v>1731.4</v>
      </c>
    </row>
    <row r="57" spans="1:12" x14ac:dyDescent="0.25">
      <c r="I57" s="1" t="s">
        <v>0</v>
      </c>
      <c r="J57" s="1" t="s">
        <v>10</v>
      </c>
      <c r="K57" s="11" t="s">
        <v>31</v>
      </c>
      <c r="L57" s="12" t="s">
        <v>32</v>
      </c>
    </row>
    <row r="58" spans="1:12" x14ac:dyDescent="0.25">
      <c r="H58" s="1">
        <v>2</v>
      </c>
      <c r="I58" s="13">
        <f>(G49 - F49) / G49</f>
        <v>0.338955562763542</v>
      </c>
      <c r="J58" s="13">
        <f>(G49 - G49) / G49</f>
        <v>0</v>
      </c>
      <c r="K58" s="13">
        <f>(G49 - H49) / G49</f>
        <v>0.26856957508919888</v>
      </c>
      <c r="L58" s="13">
        <f>(G49 - I49) / G49</f>
        <v>0.31495296788842042</v>
      </c>
    </row>
    <row r="59" spans="1:12" x14ac:dyDescent="0.25">
      <c r="H59" s="1">
        <v>4</v>
      </c>
      <c r="I59" s="13">
        <f>(G50 - F50) / G50</f>
        <v>0.16769501983252538</v>
      </c>
      <c r="J59" s="13">
        <f t="shared" ref="J59:J61" si="4">(G50 - G50) / G50</f>
        <v>0</v>
      </c>
      <c r="K59" s="13">
        <f t="shared" ref="K59:K61" si="5">(G50 - H50) / G50</f>
        <v>9.0568532393124776E-2</v>
      </c>
      <c r="L59" s="13">
        <f t="shared" ref="L59:L61" si="6">(G50 - I50) / G50</f>
        <v>0.16328779197884535</v>
      </c>
    </row>
    <row r="60" spans="1:12" x14ac:dyDescent="0.25">
      <c r="H60" s="1">
        <v>8</v>
      </c>
      <c r="I60" s="13">
        <f>(G51 - F51) / G51</f>
        <v>0.21485667034178607</v>
      </c>
      <c r="J60" s="13">
        <f t="shared" si="4"/>
        <v>0</v>
      </c>
      <c r="K60" s="13">
        <f t="shared" si="5"/>
        <v>3.2524807056229357E-2</v>
      </c>
      <c r="L60" s="13">
        <f t="shared" si="6"/>
        <v>0.15752480705622943</v>
      </c>
    </row>
    <row r="61" spans="1:12" x14ac:dyDescent="0.25">
      <c r="H61" s="1">
        <v>16</v>
      </c>
      <c r="I61" s="13">
        <f>(G52 - F52) / G52</f>
        <v>4.6730055658627034E-2</v>
      </c>
      <c r="J61" s="13">
        <f t="shared" si="4"/>
        <v>0</v>
      </c>
      <c r="K61" s="13">
        <f t="shared" si="5"/>
        <v>-5.8209647495361838E-2</v>
      </c>
      <c r="L61" s="13">
        <f t="shared" si="6"/>
        <v>-3.8265306122449772E-3</v>
      </c>
    </row>
  </sheetData>
  <mergeCells count="9">
    <mergeCell ref="A2:G2"/>
    <mergeCell ref="A13:G13"/>
    <mergeCell ref="A14:G14"/>
    <mergeCell ref="A24:G24"/>
    <mergeCell ref="A47:G47"/>
    <mergeCell ref="A25:G25"/>
    <mergeCell ref="A35:G35"/>
    <mergeCell ref="A36:G36"/>
    <mergeCell ref="A3:G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8"/>
  <sheetViews>
    <sheetView topLeftCell="A43" zoomScale="70" zoomScaleNormal="70" workbookViewId="0">
      <selection activeCell="O87" sqref="O87"/>
    </sheetView>
  </sheetViews>
  <sheetFormatPr defaultRowHeight="15" x14ac:dyDescent="0.25"/>
  <cols>
    <col min="2" max="2" width="24.28515625" bestFit="1" customWidth="1"/>
    <col min="3" max="3" width="17" bestFit="1" customWidth="1"/>
    <col min="4" max="4" width="38.28515625" bestFit="1" customWidth="1"/>
    <col min="5" max="5" width="35.42578125" bestFit="1" customWidth="1"/>
    <col min="6" max="6" width="9.5703125" bestFit="1" customWidth="1"/>
    <col min="7" max="7" width="31.28515625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18</v>
      </c>
      <c r="B1" s="14"/>
      <c r="C1" s="14"/>
      <c r="D1" s="14"/>
      <c r="E1" s="14"/>
      <c r="F1" s="14"/>
      <c r="G1" s="14"/>
    </row>
    <row r="2" spans="1:9" x14ac:dyDescent="0.25">
      <c r="A2" s="15" t="s">
        <v>16</v>
      </c>
      <c r="B2" s="15"/>
      <c r="C2" s="15"/>
      <c r="D2" s="15"/>
      <c r="E2" s="15"/>
      <c r="F2" s="15"/>
      <c r="G2" s="15"/>
    </row>
    <row r="3" spans="1:9" ht="45" x14ac:dyDescent="0.25">
      <c r="A3" s="2"/>
      <c r="B3" s="1" t="s">
        <v>6</v>
      </c>
      <c r="C3" s="3" t="s">
        <v>7</v>
      </c>
      <c r="D3" s="1" t="s">
        <v>8</v>
      </c>
      <c r="E3" s="3" t="s">
        <v>9</v>
      </c>
      <c r="F3" s="1" t="s">
        <v>0</v>
      </c>
      <c r="G3" s="1" t="s">
        <v>10</v>
      </c>
      <c r="H3" s="11" t="s">
        <v>24</v>
      </c>
      <c r="I3" s="12" t="s">
        <v>28</v>
      </c>
    </row>
    <row r="4" spans="1:9" x14ac:dyDescent="0.25">
      <c r="A4" s="1" t="s">
        <v>1</v>
      </c>
      <c r="B4">
        <v>21.148</v>
      </c>
      <c r="C4">
        <v>14.744999999999999</v>
      </c>
      <c r="D4">
        <v>2.74</v>
      </c>
      <c r="E4">
        <v>0.83</v>
      </c>
      <c r="F4">
        <v>0.82</v>
      </c>
      <c r="G4">
        <v>1.5589999999999999</v>
      </c>
      <c r="H4">
        <v>1.6519999999999999</v>
      </c>
      <c r="I4">
        <v>1.611</v>
      </c>
    </row>
    <row r="5" spans="1:9" x14ac:dyDescent="0.25">
      <c r="A5" s="1" t="s">
        <v>2</v>
      </c>
      <c r="B5">
        <v>16.981000000000002</v>
      </c>
      <c r="C5">
        <v>13.682</v>
      </c>
      <c r="D5">
        <v>3.1059999999999999</v>
      </c>
      <c r="E5">
        <v>0.93</v>
      </c>
      <c r="F5">
        <v>0.89500000000000002</v>
      </c>
      <c r="G5">
        <v>1.2150000000000001</v>
      </c>
      <c r="H5">
        <v>1.7729999999999999</v>
      </c>
      <c r="I5">
        <v>1.8140000000000001</v>
      </c>
    </row>
    <row r="6" spans="1:9" x14ac:dyDescent="0.25">
      <c r="A6" s="1" t="s">
        <v>3</v>
      </c>
      <c r="B6">
        <v>16.11</v>
      </c>
      <c r="C6">
        <v>14.467000000000001</v>
      </c>
      <c r="D6">
        <v>3.7629999999999999</v>
      </c>
      <c r="E6">
        <v>0.97599999999999998</v>
      </c>
      <c r="F6">
        <v>1.016</v>
      </c>
      <c r="G6">
        <v>0.96899999999999997</v>
      </c>
      <c r="H6">
        <v>1.6120000000000001</v>
      </c>
      <c r="I6">
        <v>1.726</v>
      </c>
    </row>
    <row r="7" spans="1:9" x14ac:dyDescent="0.25">
      <c r="A7" s="1" t="s">
        <v>4</v>
      </c>
      <c r="B7">
        <v>18.954000000000001</v>
      </c>
      <c r="C7">
        <v>13.007</v>
      </c>
      <c r="D7">
        <v>3.7210000000000001</v>
      </c>
      <c r="E7">
        <v>0.94</v>
      </c>
      <c r="F7">
        <v>1.111</v>
      </c>
      <c r="G7">
        <v>0.96299999999999997</v>
      </c>
      <c r="H7">
        <v>1.827</v>
      </c>
      <c r="I7">
        <v>1.7549999999999999</v>
      </c>
    </row>
    <row r="8" spans="1:9" x14ac:dyDescent="0.25">
      <c r="A8" s="1" t="s">
        <v>5</v>
      </c>
      <c r="B8">
        <v>18.306999999999999</v>
      </c>
      <c r="C8">
        <v>16.611999999999998</v>
      </c>
      <c r="D8">
        <v>2.9369999999999998</v>
      </c>
      <c r="E8">
        <v>0.85</v>
      </c>
      <c r="F8">
        <v>1.0109999999999999</v>
      </c>
      <c r="G8">
        <v>1.2649999999999999</v>
      </c>
      <c r="H8">
        <v>1.919</v>
      </c>
      <c r="I8">
        <v>1.619</v>
      </c>
    </row>
    <row r="11" spans="1:9" x14ac:dyDescent="0.25">
      <c r="A11" s="14" t="s">
        <v>19</v>
      </c>
      <c r="B11" s="14"/>
      <c r="C11" s="14"/>
      <c r="D11" s="14"/>
      <c r="E11" s="14"/>
      <c r="F11" s="14"/>
      <c r="G11" s="14"/>
    </row>
    <row r="12" spans="1:9" x14ac:dyDescent="0.25">
      <c r="A12" s="15" t="s">
        <v>16</v>
      </c>
      <c r="B12" s="15"/>
      <c r="C12" s="15"/>
      <c r="D12" s="15"/>
      <c r="E12" s="15"/>
      <c r="F12" s="15"/>
      <c r="G12" s="15"/>
    </row>
    <row r="13" spans="1:9" ht="45" x14ac:dyDescent="0.25">
      <c r="A13" s="2"/>
      <c r="B13" s="1" t="s">
        <v>6</v>
      </c>
      <c r="C13" s="3" t="s">
        <v>7</v>
      </c>
      <c r="D13" s="1" t="s">
        <v>8</v>
      </c>
      <c r="E13" s="3" t="s">
        <v>9</v>
      </c>
      <c r="F13" s="1" t="s">
        <v>0</v>
      </c>
      <c r="G13" s="1" t="s">
        <v>10</v>
      </c>
      <c r="H13" s="11" t="s">
        <v>24</v>
      </c>
      <c r="I13" s="12" t="s">
        <v>25</v>
      </c>
    </row>
    <row r="14" spans="1:9" x14ac:dyDescent="0.25">
      <c r="A14" s="1" t="s">
        <v>1</v>
      </c>
      <c r="B14">
        <v>29.824000000000002</v>
      </c>
      <c r="C14">
        <v>26.420999999999999</v>
      </c>
      <c r="D14">
        <v>3.0880000000000001</v>
      </c>
      <c r="E14">
        <v>1.0740000000000001</v>
      </c>
      <c r="F14">
        <v>1.3129999999999999</v>
      </c>
      <c r="G14">
        <v>1.258</v>
      </c>
      <c r="H14">
        <v>2.34</v>
      </c>
      <c r="I14">
        <v>2.1120000000000001</v>
      </c>
    </row>
    <row r="15" spans="1:9" x14ac:dyDescent="0.25">
      <c r="A15" s="1" t="s">
        <v>2</v>
      </c>
      <c r="B15">
        <v>27.058</v>
      </c>
      <c r="C15">
        <v>26.914999999999999</v>
      </c>
      <c r="D15">
        <v>3.1749999999999998</v>
      </c>
      <c r="E15">
        <v>1.2849999999999999</v>
      </c>
      <c r="F15">
        <v>1.506</v>
      </c>
      <c r="G15">
        <v>1.74</v>
      </c>
      <c r="H15">
        <v>2.2959999999999998</v>
      </c>
      <c r="I15">
        <v>2.4900000000000002</v>
      </c>
    </row>
    <row r="16" spans="1:9" x14ac:dyDescent="0.25">
      <c r="A16" s="1" t="s">
        <v>3</v>
      </c>
      <c r="B16">
        <v>30.161999999999999</v>
      </c>
      <c r="C16">
        <v>27.100999999999999</v>
      </c>
      <c r="D16">
        <v>2.9060000000000001</v>
      </c>
      <c r="E16">
        <v>1.075</v>
      </c>
      <c r="F16">
        <v>1.5049999999999999</v>
      </c>
      <c r="G16">
        <v>1.3979999999999999</v>
      </c>
      <c r="H16">
        <v>2.3959999999999999</v>
      </c>
      <c r="I16">
        <v>2.37</v>
      </c>
    </row>
    <row r="17" spans="1:9" x14ac:dyDescent="0.25">
      <c r="A17" s="1" t="s">
        <v>4</v>
      </c>
      <c r="B17">
        <v>30.111000000000001</v>
      </c>
      <c r="C17">
        <v>28.888999999999999</v>
      </c>
      <c r="D17">
        <v>3.6160000000000001</v>
      </c>
      <c r="E17">
        <v>1.1870000000000001</v>
      </c>
      <c r="F17">
        <v>1.538</v>
      </c>
      <c r="G17">
        <v>1.675</v>
      </c>
      <c r="H17">
        <v>2.673</v>
      </c>
      <c r="I17">
        <v>2.496</v>
      </c>
    </row>
    <row r="18" spans="1:9" x14ac:dyDescent="0.25">
      <c r="A18" s="1" t="s">
        <v>5</v>
      </c>
      <c r="B18">
        <v>30.692</v>
      </c>
      <c r="C18">
        <v>25.93</v>
      </c>
      <c r="D18">
        <v>2.99</v>
      </c>
      <c r="E18">
        <v>1.2589999999999999</v>
      </c>
      <c r="F18">
        <v>1.7330000000000001</v>
      </c>
      <c r="G18">
        <v>1.365</v>
      </c>
      <c r="H18">
        <v>2.6179999999999999</v>
      </c>
      <c r="I18">
        <v>2.2959999999999998</v>
      </c>
    </row>
    <row r="21" spans="1:9" x14ac:dyDescent="0.25">
      <c r="A21" s="14" t="s">
        <v>20</v>
      </c>
      <c r="B21" s="14"/>
      <c r="C21" s="14"/>
      <c r="D21" s="14"/>
      <c r="E21" s="14"/>
      <c r="F21" s="14"/>
      <c r="G21" s="14"/>
    </row>
    <row r="22" spans="1:9" x14ac:dyDescent="0.25">
      <c r="A22" s="15" t="s">
        <v>16</v>
      </c>
      <c r="B22" s="15"/>
      <c r="C22" s="15"/>
      <c r="D22" s="15"/>
      <c r="E22" s="15"/>
      <c r="F22" s="15"/>
      <c r="G22" s="15"/>
    </row>
    <row r="23" spans="1:9" ht="45" x14ac:dyDescent="0.25">
      <c r="A23" s="2"/>
      <c r="B23" s="1" t="s">
        <v>6</v>
      </c>
      <c r="C23" s="3" t="s">
        <v>7</v>
      </c>
      <c r="D23" s="1" t="s">
        <v>8</v>
      </c>
      <c r="E23" s="3" t="s">
        <v>9</v>
      </c>
      <c r="F23" s="1" t="s">
        <v>0</v>
      </c>
      <c r="G23" s="1" t="s">
        <v>10</v>
      </c>
      <c r="H23" s="11" t="s">
        <v>24</v>
      </c>
      <c r="I23" s="12" t="s">
        <v>25</v>
      </c>
    </row>
    <row r="24" spans="1:9" x14ac:dyDescent="0.25">
      <c r="A24" s="1" t="s">
        <v>1</v>
      </c>
      <c r="B24">
        <v>32.475999999999999</v>
      </c>
      <c r="C24">
        <v>34.78</v>
      </c>
      <c r="D24">
        <v>4.8490000000000002</v>
      </c>
      <c r="E24">
        <v>1.298</v>
      </c>
      <c r="F24">
        <v>2.3860000000000001</v>
      </c>
      <c r="G24">
        <v>2.2970000000000002</v>
      </c>
      <c r="H24">
        <v>2.7639999999999998</v>
      </c>
      <c r="I24">
        <v>2.1619999999999999</v>
      </c>
    </row>
    <row r="25" spans="1:9" x14ac:dyDescent="0.25">
      <c r="A25" s="1" t="s">
        <v>2</v>
      </c>
      <c r="B25">
        <v>31.088000000000001</v>
      </c>
      <c r="C25">
        <v>37.369999999999997</v>
      </c>
      <c r="D25">
        <v>5.0170000000000003</v>
      </c>
      <c r="E25">
        <v>1.2150000000000001</v>
      </c>
      <c r="F25">
        <v>1.9810000000000001</v>
      </c>
      <c r="G25">
        <v>2.4430000000000001</v>
      </c>
      <c r="H25">
        <v>2.794</v>
      </c>
      <c r="I25">
        <v>2.052</v>
      </c>
    </row>
    <row r="26" spans="1:9" x14ac:dyDescent="0.25">
      <c r="A26" s="1" t="s">
        <v>3</v>
      </c>
      <c r="B26">
        <v>37.238999999999997</v>
      </c>
      <c r="C26">
        <v>31.91</v>
      </c>
      <c r="D26">
        <v>9.2550000000000008</v>
      </c>
      <c r="E26">
        <v>1.3140000000000001</v>
      </c>
      <c r="F26">
        <v>1.9179999999999999</v>
      </c>
      <c r="G26">
        <v>2.3119999999999998</v>
      </c>
      <c r="H26">
        <v>2.839</v>
      </c>
      <c r="I26">
        <v>2.1389999999999998</v>
      </c>
    </row>
    <row r="27" spans="1:9" x14ac:dyDescent="0.25">
      <c r="A27" s="1" t="s">
        <v>4</v>
      </c>
      <c r="B27">
        <v>34.287999999999997</v>
      </c>
      <c r="C27">
        <v>34.558</v>
      </c>
      <c r="D27">
        <v>10.135</v>
      </c>
      <c r="E27">
        <v>1.3360000000000001</v>
      </c>
      <c r="F27">
        <v>2.246</v>
      </c>
      <c r="G27">
        <v>1.946</v>
      </c>
      <c r="H27">
        <v>2.7669999999999999</v>
      </c>
      <c r="I27">
        <v>2.3439999999999999</v>
      </c>
    </row>
    <row r="28" spans="1:9" x14ac:dyDescent="0.25">
      <c r="A28" s="1" t="s">
        <v>5</v>
      </c>
      <c r="B28">
        <v>36.151000000000003</v>
      </c>
      <c r="C28">
        <v>35.844000000000001</v>
      </c>
      <c r="D28">
        <v>7.8129999999999997</v>
      </c>
      <c r="E28">
        <v>1.294</v>
      </c>
      <c r="F28">
        <v>1.956</v>
      </c>
      <c r="G28">
        <v>1.9550000000000001</v>
      </c>
      <c r="H28">
        <v>2.7040000000000002</v>
      </c>
      <c r="I28">
        <v>1.903</v>
      </c>
    </row>
    <row r="32" spans="1:9" x14ac:dyDescent="0.25">
      <c r="A32" s="14" t="s">
        <v>21</v>
      </c>
      <c r="B32" s="14"/>
      <c r="C32" s="14"/>
      <c r="D32" s="14"/>
      <c r="E32" s="14"/>
      <c r="F32" s="14"/>
      <c r="G32" s="14"/>
    </row>
    <row r="33" spans="1:9" x14ac:dyDescent="0.25">
      <c r="A33" s="15" t="s">
        <v>16</v>
      </c>
      <c r="B33" s="15"/>
      <c r="C33" s="15"/>
      <c r="D33" s="15"/>
      <c r="E33" s="15"/>
      <c r="F33" s="15"/>
      <c r="G33" s="15"/>
    </row>
    <row r="34" spans="1:9" ht="45" x14ac:dyDescent="0.25">
      <c r="A34" s="2"/>
      <c r="B34" s="1" t="s">
        <v>6</v>
      </c>
      <c r="C34" s="3" t="s">
        <v>7</v>
      </c>
      <c r="D34" s="1" t="s">
        <v>8</v>
      </c>
      <c r="E34" s="3" t="s">
        <v>9</v>
      </c>
      <c r="F34" s="1" t="s">
        <v>0</v>
      </c>
      <c r="G34" s="1" t="s">
        <v>10</v>
      </c>
      <c r="H34" s="11" t="s">
        <v>24</v>
      </c>
      <c r="I34" s="12" t="s">
        <v>25</v>
      </c>
    </row>
    <row r="35" spans="1:9" x14ac:dyDescent="0.25">
      <c r="A35" s="1" t="s">
        <v>1</v>
      </c>
      <c r="B35">
        <v>50.209000000000003</v>
      </c>
      <c r="C35">
        <v>48.515999999999998</v>
      </c>
      <c r="D35">
        <v>4.8940000000000001</v>
      </c>
      <c r="E35">
        <v>1.17</v>
      </c>
      <c r="F35">
        <v>1.897</v>
      </c>
      <c r="G35">
        <v>2.327</v>
      </c>
      <c r="H35">
        <v>3.4750000000000001</v>
      </c>
      <c r="I35">
        <v>2.6589999999999998</v>
      </c>
    </row>
    <row r="36" spans="1:9" x14ac:dyDescent="0.25">
      <c r="A36" s="1" t="s">
        <v>2</v>
      </c>
      <c r="B36">
        <v>46.505000000000003</v>
      </c>
      <c r="C36">
        <v>51.927</v>
      </c>
      <c r="D36">
        <v>8.0719999999999992</v>
      </c>
      <c r="E36">
        <v>1.363</v>
      </c>
      <c r="F36">
        <v>2.5070000000000001</v>
      </c>
      <c r="G36">
        <v>2.754</v>
      </c>
      <c r="H36">
        <v>3.5790000000000002</v>
      </c>
      <c r="I36">
        <v>3.5209999999999999</v>
      </c>
    </row>
    <row r="37" spans="1:9" x14ac:dyDescent="0.25">
      <c r="A37" s="1" t="s">
        <v>3</v>
      </c>
      <c r="B37">
        <v>54.445</v>
      </c>
      <c r="C37">
        <v>52.180999999999997</v>
      </c>
      <c r="D37">
        <v>5.3280000000000003</v>
      </c>
      <c r="E37">
        <v>1.401</v>
      </c>
      <c r="F37">
        <v>2.2530000000000001</v>
      </c>
      <c r="G37">
        <v>2.7410000000000001</v>
      </c>
      <c r="H37">
        <v>3.3420000000000001</v>
      </c>
      <c r="I37">
        <v>3.3540000000000001</v>
      </c>
    </row>
    <row r="38" spans="1:9" x14ac:dyDescent="0.25">
      <c r="A38" s="1" t="s">
        <v>4</v>
      </c>
      <c r="B38">
        <v>54.893999999999998</v>
      </c>
      <c r="C38">
        <v>52.052999999999997</v>
      </c>
      <c r="D38">
        <v>4.6059999999999999</v>
      </c>
      <c r="E38">
        <v>1.4770000000000001</v>
      </c>
      <c r="F38">
        <v>2.637</v>
      </c>
      <c r="G38">
        <v>3.117</v>
      </c>
      <c r="H38">
        <v>3.69</v>
      </c>
      <c r="I38">
        <v>3.456</v>
      </c>
    </row>
    <row r="39" spans="1:9" x14ac:dyDescent="0.25">
      <c r="A39" s="1" t="s">
        <v>5</v>
      </c>
      <c r="B39">
        <v>52.613999999999997</v>
      </c>
      <c r="C39">
        <v>52.493000000000002</v>
      </c>
      <c r="D39">
        <v>5.4660000000000002</v>
      </c>
      <c r="E39">
        <v>1.5589999999999999</v>
      </c>
      <c r="F39">
        <v>2.484</v>
      </c>
      <c r="G39">
        <v>2.738</v>
      </c>
      <c r="H39">
        <v>3.24</v>
      </c>
      <c r="I39">
        <v>3.6779999999999999</v>
      </c>
    </row>
    <row r="53" spans="1:18" x14ac:dyDescent="0.25">
      <c r="A53" s="16" t="s">
        <v>22</v>
      </c>
      <c r="B53" s="16"/>
      <c r="C53" s="16"/>
      <c r="D53" s="16"/>
      <c r="E53" s="16"/>
      <c r="F53" s="16"/>
      <c r="G53" s="16"/>
    </row>
    <row r="54" spans="1:18" ht="45" x14ac:dyDescent="0.25">
      <c r="A54" s="2"/>
      <c r="B54" s="1" t="s">
        <v>6</v>
      </c>
      <c r="C54" s="3" t="s">
        <v>7</v>
      </c>
      <c r="D54" s="1" t="s">
        <v>8</v>
      </c>
      <c r="E54" s="3" t="s">
        <v>9</v>
      </c>
      <c r="F54" s="1" t="s">
        <v>0</v>
      </c>
      <c r="G54" s="1" t="s">
        <v>10</v>
      </c>
      <c r="H54" s="11" t="s">
        <v>31</v>
      </c>
      <c r="I54" s="12" t="s">
        <v>32</v>
      </c>
      <c r="N54" s="2"/>
      <c r="O54" s="1" t="s">
        <v>0</v>
      </c>
      <c r="P54" s="1" t="s">
        <v>10</v>
      </c>
      <c r="Q54" s="11" t="s">
        <v>31</v>
      </c>
      <c r="R54" s="12" t="s">
        <v>32</v>
      </c>
    </row>
    <row r="55" spans="1:18" x14ac:dyDescent="0.25">
      <c r="A55" s="1">
        <v>2</v>
      </c>
      <c r="B55">
        <f t="shared" ref="B55:G55" si="0">AVERAGE(B4:B8)</f>
        <v>18.300000000000004</v>
      </c>
      <c r="C55">
        <f t="shared" si="0"/>
        <v>14.502599999999997</v>
      </c>
      <c r="D55">
        <f t="shared" si="0"/>
        <v>3.2534000000000001</v>
      </c>
      <c r="E55">
        <f t="shared" si="0"/>
        <v>0.9052</v>
      </c>
      <c r="F55">
        <f t="shared" si="0"/>
        <v>0.97059999999999991</v>
      </c>
      <c r="G55">
        <f t="shared" si="0"/>
        <v>1.1941999999999999</v>
      </c>
      <c r="H55">
        <f>AVERAGE(H4:H8)</f>
        <v>1.7565999999999999</v>
      </c>
      <c r="I55">
        <f>AVERAGE(I4:I8)</f>
        <v>1.7050000000000001</v>
      </c>
      <c r="N55" s="1">
        <v>2</v>
      </c>
      <c r="O55">
        <v>0.97059999999999991</v>
      </c>
      <c r="P55">
        <v>1.1941999999999999</v>
      </c>
      <c r="Q55">
        <v>1.7565999999999999</v>
      </c>
      <c r="R55">
        <v>1.7050000000000001</v>
      </c>
    </row>
    <row r="56" spans="1:18" x14ac:dyDescent="0.25">
      <c r="A56" s="1">
        <v>4</v>
      </c>
      <c r="B56">
        <f t="shared" ref="B56:G56" si="1">AVERAGE(B14:B18)</f>
        <v>29.569400000000002</v>
      </c>
      <c r="C56">
        <f t="shared" si="1"/>
        <v>27.051200000000001</v>
      </c>
      <c r="D56">
        <f t="shared" si="1"/>
        <v>3.1550000000000002</v>
      </c>
      <c r="E56">
        <f t="shared" si="1"/>
        <v>1.1760000000000002</v>
      </c>
      <c r="F56">
        <f t="shared" si="1"/>
        <v>1.5190000000000001</v>
      </c>
      <c r="G56">
        <f t="shared" si="1"/>
        <v>1.4872000000000001</v>
      </c>
      <c r="H56">
        <f>AVERAGE(H14:H18)</f>
        <v>2.4645999999999999</v>
      </c>
      <c r="I56">
        <f>AVERAGE(I14:I18)</f>
        <v>2.3527999999999998</v>
      </c>
      <c r="N56" s="1">
        <v>4</v>
      </c>
      <c r="O56">
        <v>1.5190000000000001</v>
      </c>
      <c r="P56">
        <v>1.4872000000000001</v>
      </c>
      <c r="Q56">
        <v>2.4645999999999999</v>
      </c>
      <c r="R56">
        <v>2.3527999999999998</v>
      </c>
    </row>
    <row r="57" spans="1:18" x14ac:dyDescent="0.25">
      <c r="A57" s="1">
        <v>8</v>
      </c>
      <c r="B57">
        <f t="shared" ref="B57:G57" si="2">AVERAGE(B24:B28)</f>
        <v>34.248400000000004</v>
      </c>
      <c r="C57">
        <f t="shared" si="2"/>
        <v>34.892399999999995</v>
      </c>
      <c r="D57">
        <f t="shared" si="2"/>
        <v>7.4138000000000002</v>
      </c>
      <c r="E57">
        <f t="shared" si="2"/>
        <v>1.2914000000000001</v>
      </c>
      <c r="F57">
        <f t="shared" si="2"/>
        <v>2.0973999999999999</v>
      </c>
      <c r="G57">
        <f t="shared" si="2"/>
        <v>2.1905999999999999</v>
      </c>
      <c r="H57">
        <f>AVERAGE(H24:H28)</f>
        <v>2.7736000000000001</v>
      </c>
      <c r="I57">
        <f>AVERAGE(I24:I28)</f>
        <v>2.12</v>
      </c>
      <c r="N57" s="1">
        <v>8</v>
      </c>
      <c r="O57">
        <v>2.0973999999999999</v>
      </c>
      <c r="P57">
        <v>2.1905999999999999</v>
      </c>
      <c r="Q57">
        <v>2.7736000000000001</v>
      </c>
      <c r="R57">
        <v>2.12</v>
      </c>
    </row>
    <row r="58" spans="1:18" x14ac:dyDescent="0.25">
      <c r="A58" s="1">
        <v>16</v>
      </c>
      <c r="B58">
        <f t="shared" ref="B58:G58" si="3">AVERAGE(B35:B39)</f>
        <v>51.733399999999996</v>
      </c>
      <c r="C58">
        <f t="shared" si="3"/>
        <v>51.434000000000005</v>
      </c>
      <c r="D58">
        <f t="shared" si="3"/>
        <v>5.6731999999999996</v>
      </c>
      <c r="E58">
        <f t="shared" si="3"/>
        <v>1.3940000000000001</v>
      </c>
      <c r="F58">
        <f t="shared" si="3"/>
        <v>2.3555999999999999</v>
      </c>
      <c r="G58">
        <f t="shared" si="3"/>
        <v>2.7353999999999998</v>
      </c>
      <c r="H58">
        <f>AVERAGE(H35:H39)</f>
        <v>3.4652000000000003</v>
      </c>
      <c r="I58">
        <f>AVERAGE(I35:I39)</f>
        <v>3.3335999999999997</v>
      </c>
      <c r="N58" s="1">
        <v>16</v>
      </c>
      <c r="O58">
        <v>2.3555999999999999</v>
      </c>
      <c r="P58">
        <v>2.7353999999999998</v>
      </c>
      <c r="Q58">
        <v>3.4652000000000003</v>
      </c>
      <c r="R58">
        <v>3.3335999999999997</v>
      </c>
    </row>
  </sheetData>
  <mergeCells count="9">
    <mergeCell ref="A53:G53"/>
    <mergeCell ref="A33:G33"/>
    <mergeCell ref="A1:G1"/>
    <mergeCell ref="A2:G2"/>
    <mergeCell ref="A11:G11"/>
    <mergeCell ref="A12:G12"/>
    <mergeCell ref="A21:G21"/>
    <mergeCell ref="A22:G22"/>
    <mergeCell ref="A32:G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topLeftCell="A75" zoomScale="70" zoomScaleNormal="70" workbookViewId="0">
      <selection activeCell="M165" sqref="M165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4.7109375" customWidth="1"/>
    <col min="4" max="5" width="38.28515625" bestFit="1" customWidth="1"/>
    <col min="6" max="6" width="23.28515625" bestFit="1" customWidth="1"/>
    <col min="7" max="7" width="6.1406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18</v>
      </c>
      <c r="B1" s="14"/>
      <c r="C1" s="14"/>
      <c r="D1" s="14"/>
      <c r="E1" s="14"/>
      <c r="F1" s="14"/>
      <c r="G1" s="14"/>
    </row>
    <row r="2" spans="1:9" x14ac:dyDescent="0.25">
      <c r="A2" s="15" t="s">
        <v>15</v>
      </c>
      <c r="B2" s="15"/>
      <c r="C2" s="15"/>
      <c r="D2" s="15"/>
      <c r="E2" s="15"/>
      <c r="F2" s="15"/>
      <c r="G2" s="15"/>
    </row>
    <row r="3" spans="1:9" ht="30" x14ac:dyDescent="0.25">
      <c r="A3" s="2"/>
      <c r="B3" s="1" t="s">
        <v>6</v>
      </c>
      <c r="C3" s="3" t="s">
        <v>7</v>
      </c>
      <c r="D3" s="1" t="s">
        <v>8</v>
      </c>
      <c r="E3" s="3" t="s">
        <v>9</v>
      </c>
      <c r="F3" s="1" t="s">
        <v>0</v>
      </c>
      <c r="G3" s="1" t="s">
        <v>10</v>
      </c>
      <c r="H3" s="11" t="s">
        <v>24</v>
      </c>
      <c r="I3" s="12" t="s">
        <v>25</v>
      </c>
    </row>
    <row r="4" spans="1:9" x14ac:dyDescent="0.25">
      <c r="A4" s="1" t="s">
        <v>1</v>
      </c>
      <c r="B4">
        <v>0</v>
      </c>
      <c r="C4">
        <v>0</v>
      </c>
      <c r="D4">
        <v>0</v>
      </c>
      <c r="E4">
        <v>0</v>
      </c>
      <c r="F4">
        <v>0.15579999999999999</v>
      </c>
      <c r="G4">
        <v>0.16</v>
      </c>
      <c r="H4">
        <v>0</v>
      </c>
      <c r="I4">
        <v>0.1</v>
      </c>
    </row>
    <row r="5" spans="1:9" x14ac:dyDescent="0.25">
      <c r="A5" s="1" t="s">
        <v>2</v>
      </c>
      <c r="B5">
        <v>0</v>
      </c>
      <c r="C5">
        <v>0</v>
      </c>
      <c r="D5">
        <v>0</v>
      </c>
      <c r="E5">
        <v>0</v>
      </c>
      <c r="F5">
        <v>0.154</v>
      </c>
      <c r="G5">
        <v>0.16</v>
      </c>
      <c r="H5">
        <v>0</v>
      </c>
      <c r="I5">
        <v>0.1</v>
      </c>
    </row>
    <row r="6" spans="1:9" x14ac:dyDescent="0.25">
      <c r="A6" s="1" t="s">
        <v>3</v>
      </c>
      <c r="B6">
        <v>0</v>
      </c>
      <c r="C6">
        <v>0</v>
      </c>
      <c r="D6">
        <v>0</v>
      </c>
      <c r="E6">
        <v>0</v>
      </c>
      <c r="F6">
        <v>0.13100000000000001</v>
      </c>
      <c r="G6">
        <v>0.16039999999999999</v>
      </c>
      <c r="H6">
        <v>0</v>
      </c>
      <c r="I6">
        <v>0.1</v>
      </c>
    </row>
    <row r="7" spans="1:9" x14ac:dyDescent="0.25">
      <c r="A7" s="1" t="s">
        <v>4</v>
      </c>
      <c r="B7">
        <v>0</v>
      </c>
      <c r="C7">
        <v>0</v>
      </c>
      <c r="D7">
        <v>0</v>
      </c>
      <c r="E7">
        <v>0</v>
      </c>
      <c r="F7">
        <v>0.155</v>
      </c>
      <c r="G7">
        <v>0.16</v>
      </c>
      <c r="H7">
        <v>0</v>
      </c>
      <c r="I7">
        <v>0.1</v>
      </c>
    </row>
    <row r="8" spans="1:9" x14ac:dyDescent="0.25">
      <c r="A8" s="1" t="s">
        <v>5</v>
      </c>
      <c r="B8">
        <v>0</v>
      </c>
      <c r="C8">
        <v>0</v>
      </c>
      <c r="D8">
        <v>0</v>
      </c>
      <c r="E8">
        <v>0</v>
      </c>
      <c r="F8">
        <v>0.127</v>
      </c>
      <c r="G8">
        <v>0.16</v>
      </c>
      <c r="H8">
        <v>0</v>
      </c>
      <c r="I8">
        <v>0.1</v>
      </c>
    </row>
    <row r="11" spans="1:9" x14ac:dyDescent="0.25">
      <c r="A11" s="19" t="s">
        <v>13</v>
      </c>
      <c r="B11" s="19"/>
      <c r="C11" s="19"/>
    </row>
    <row r="12" spans="1:9" x14ac:dyDescent="0.25">
      <c r="B12" s="1" t="s">
        <v>10</v>
      </c>
      <c r="C12" s="1" t="s">
        <v>0</v>
      </c>
    </row>
    <row r="13" spans="1:9" x14ac:dyDescent="0.25">
      <c r="A13" s="1" t="s">
        <v>1</v>
      </c>
      <c r="B13" s="4">
        <v>1</v>
      </c>
      <c r="C13" s="4">
        <v>1</v>
      </c>
    </row>
    <row r="14" spans="1:9" x14ac:dyDescent="0.25">
      <c r="A14" s="1" t="s">
        <v>2</v>
      </c>
      <c r="B14" s="4">
        <v>1</v>
      </c>
      <c r="C14" s="4">
        <v>1</v>
      </c>
    </row>
    <row r="15" spans="1:9" x14ac:dyDescent="0.25">
      <c r="A15" s="1" t="s">
        <v>3</v>
      </c>
      <c r="B15" s="4">
        <v>0.75</v>
      </c>
      <c r="C15" s="4">
        <v>1</v>
      </c>
    </row>
    <row r="16" spans="1:9" x14ac:dyDescent="0.25">
      <c r="A16" s="1" t="s">
        <v>4</v>
      </c>
      <c r="B16" s="4">
        <v>1</v>
      </c>
      <c r="C16" s="4">
        <v>1</v>
      </c>
    </row>
    <row r="17" spans="1:9" x14ac:dyDescent="0.25">
      <c r="A17" s="1" t="s">
        <v>5</v>
      </c>
      <c r="B17" s="4">
        <v>1</v>
      </c>
      <c r="C17" s="4">
        <v>1</v>
      </c>
    </row>
    <row r="19" spans="1:9" ht="33" customHeight="1" x14ac:dyDescent="0.25">
      <c r="A19" s="18" t="s">
        <v>14</v>
      </c>
      <c r="B19" s="18"/>
      <c r="C19" s="18"/>
    </row>
    <row r="20" spans="1:9" x14ac:dyDescent="0.25">
      <c r="A20" s="8"/>
      <c r="B20" s="1" t="s">
        <v>10</v>
      </c>
      <c r="C20" s="1" t="s">
        <v>0</v>
      </c>
      <c r="D20" s="11" t="s">
        <v>24</v>
      </c>
      <c r="E20" s="12" t="s">
        <v>25</v>
      </c>
    </row>
    <row r="21" spans="1:9" x14ac:dyDescent="0.25">
      <c r="A21" s="1" t="s">
        <v>1</v>
      </c>
      <c r="B21" s="5">
        <v>0.16325999999999999</v>
      </c>
      <c r="C21" s="5">
        <v>0.1585</v>
      </c>
      <c r="D21">
        <v>0</v>
      </c>
      <c r="E21" s="5">
        <v>0.10173</v>
      </c>
    </row>
    <row r="22" spans="1:9" x14ac:dyDescent="0.25">
      <c r="A22" s="1" t="s">
        <v>2</v>
      </c>
      <c r="B22" s="5">
        <v>0.16325999999999999</v>
      </c>
      <c r="C22" s="5">
        <v>0.15679000000000001</v>
      </c>
      <c r="D22">
        <v>0</v>
      </c>
      <c r="E22" s="5">
        <v>0.115</v>
      </c>
    </row>
    <row r="23" spans="1:9" x14ac:dyDescent="0.25">
      <c r="A23" s="1" t="s">
        <v>3</v>
      </c>
      <c r="B23" s="5">
        <v>0.16325999999999999</v>
      </c>
      <c r="C23" s="5">
        <v>0.13353999999999999</v>
      </c>
      <c r="D23">
        <v>0</v>
      </c>
      <c r="E23" s="5">
        <v>0.1017</v>
      </c>
    </row>
    <row r="24" spans="1:9" x14ac:dyDescent="0.25">
      <c r="A24" s="1" t="s">
        <v>4</v>
      </c>
      <c r="B24" s="5">
        <v>0.16325999999999999</v>
      </c>
      <c r="C24" s="5">
        <v>0.15831000000000001</v>
      </c>
      <c r="D24">
        <v>0</v>
      </c>
      <c r="E24" s="5">
        <v>0.101733</v>
      </c>
    </row>
    <row r="25" spans="1:9" x14ac:dyDescent="0.25">
      <c r="A25" s="1" t="s">
        <v>5</v>
      </c>
      <c r="B25" s="5">
        <v>0.16320000000000001</v>
      </c>
      <c r="C25" s="5">
        <v>0.12916</v>
      </c>
      <c r="D25">
        <v>0</v>
      </c>
      <c r="E25" s="5">
        <v>0.11070000000000001</v>
      </c>
    </row>
    <row r="29" spans="1:9" x14ac:dyDescent="0.25">
      <c r="A29" s="14" t="s">
        <v>19</v>
      </c>
      <c r="B29" s="14"/>
      <c r="C29" s="14"/>
      <c r="D29" s="14"/>
      <c r="E29" s="14"/>
      <c r="F29" s="14"/>
      <c r="G29" s="14"/>
    </row>
    <row r="30" spans="1:9" x14ac:dyDescent="0.25">
      <c r="A30" s="15" t="s">
        <v>15</v>
      </c>
      <c r="B30" s="15"/>
      <c r="C30" s="15"/>
      <c r="D30" s="15"/>
      <c r="E30" s="15"/>
      <c r="F30" s="15"/>
      <c r="G30" s="15"/>
    </row>
    <row r="31" spans="1:9" ht="30" x14ac:dyDescent="0.25">
      <c r="A31" s="2"/>
      <c r="B31" s="1" t="s">
        <v>6</v>
      </c>
      <c r="C31" s="3" t="s">
        <v>7</v>
      </c>
      <c r="D31" s="1" t="s">
        <v>8</v>
      </c>
      <c r="E31" s="3" t="s">
        <v>9</v>
      </c>
      <c r="F31" s="1" t="s">
        <v>0</v>
      </c>
      <c r="G31" s="1" t="s">
        <v>10</v>
      </c>
      <c r="H31" s="11" t="s">
        <v>24</v>
      </c>
      <c r="I31" s="12" t="s">
        <v>25</v>
      </c>
    </row>
    <row r="32" spans="1:9" x14ac:dyDescent="0.25">
      <c r="A32" s="1" t="s">
        <v>1</v>
      </c>
      <c r="B32">
        <v>0</v>
      </c>
      <c r="C32">
        <v>0</v>
      </c>
      <c r="D32">
        <v>0</v>
      </c>
      <c r="E32">
        <v>0</v>
      </c>
      <c r="F32">
        <v>0.26300000000000001</v>
      </c>
      <c r="G32">
        <v>0.28000000000000003</v>
      </c>
      <c r="H32">
        <v>0</v>
      </c>
      <c r="I32">
        <v>5.6300000000000003E-2</v>
      </c>
    </row>
    <row r="33" spans="1:9" x14ac:dyDescent="0.25">
      <c r="A33" s="1" t="s">
        <v>2</v>
      </c>
      <c r="B33">
        <v>0</v>
      </c>
      <c r="C33">
        <v>0</v>
      </c>
      <c r="D33">
        <v>0</v>
      </c>
      <c r="E33">
        <v>0</v>
      </c>
      <c r="F33">
        <v>0.26300000000000001</v>
      </c>
      <c r="G33">
        <v>0.28599999999999998</v>
      </c>
      <c r="H33">
        <v>0</v>
      </c>
      <c r="I33">
        <v>0.19</v>
      </c>
    </row>
    <row r="34" spans="1:9" x14ac:dyDescent="0.25">
      <c r="A34" s="1" t="s">
        <v>3</v>
      </c>
      <c r="B34">
        <v>0</v>
      </c>
      <c r="C34">
        <v>0</v>
      </c>
      <c r="D34">
        <v>0</v>
      </c>
      <c r="E34">
        <v>0</v>
      </c>
      <c r="F34">
        <v>0.26640000000000003</v>
      </c>
      <c r="G34">
        <v>0.247</v>
      </c>
      <c r="H34">
        <v>0</v>
      </c>
      <c r="I34">
        <v>0.19</v>
      </c>
    </row>
    <row r="35" spans="1:9" x14ac:dyDescent="0.25">
      <c r="A35" s="1" t="s">
        <v>4</v>
      </c>
      <c r="B35">
        <v>0</v>
      </c>
      <c r="C35">
        <v>0</v>
      </c>
      <c r="D35">
        <v>0</v>
      </c>
      <c r="E35">
        <v>0</v>
      </c>
      <c r="F35">
        <v>0.26200000000000001</v>
      </c>
      <c r="G35">
        <v>0.28420000000000001</v>
      </c>
      <c r="H35">
        <v>0</v>
      </c>
      <c r="I35">
        <v>5.6300000000000003E-2</v>
      </c>
    </row>
    <row r="36" spans="1:9" x14ac:dyDescent="0.25">
      <c r="A36" s="1" t="s">
        <v>5</v>
      </c>
      <c r="B36">
        <v>0</v>
      </c>
      <c r="C36">
        <v>0</v>
      </c>
      <c r="D36">
        <v>0</v>
      </c>
      <c r="E36">
        <v>0</v>
      </c>
      <c r="F36">
        <v>0.25800000000000001</v>
      </c>
      <c r="G36">
        <v>0.28499999999999998</v>
      </c>
      <c r="H36">
        <v>0</v>
      </c>
      <c r="I36">
        <v>0.10589999999999999</v>
      </c>
    </row>
    <row r="38" spans="1:9" x14ac:dyDescent="0.25">
      <c r="A38" s="18" t="s">
        <v>14</v>
      </c>
      <c r="B38" s="18"/>
      <c r="C38" s="18"/>
    </row>
    <row r="39" spans="1:9" x14ac:dyDescent="0.25">
      <c r="A39" s="8"/>
      <c r="B39" s="1" t="s">
        <v>10</v>
      </c>
      <c r="C39" s="1" t="s">
        <v>0</v>
      </c>
      <c r="D39" s="11" t="s">
        <v>24</v>
      </c>
      <c r="E39" s="12" t="s">
        <v>25</v>
      </c>
    </row>
    <row r="40" spans="1:9" x14ac:dyDescent="0.25">
      <c r="A40" s="1" t="s">
        <v>1</v>
      </c>
      <c r="B40" s="5">
        <v>0.30370000000000003</v>
      </c>
      <c r="C40" s="5">
        <v>0.28538000000000002</v>
      </c>
      <c r="D40">
        <v>0</v>
      </c>
      <c r="E40" s="5">
        <v>5.6500000000000002E-2</v>
      </c>
    </row>
    <row r="41" spans="1:9" x14ac:dyDescent="0.25">
      <c r="A41" s="1" t="s">
        <v>2</v>
      </c>
      <c r="B41" s="5">
        <v>0.31037999999999999</v>
      </c>
      <c r="C41" s="5">
        <v>0.28585500000000003</v>
      </c>
      <c r="D41">
        <v>0</v>
      </c>
      <c r="E41" s="5">
        <v>7.7799999999999994E-2</v>
      </c>
    </row>
    <row r="42" spans="1:9" x14ac:dyDescent="0.25">
      <c r="A42" s="1" t="s">
        <v>3</v>
      </c>
      <c r="B42" s="5">
        <v>0.30942999999999998</v>
      </c>
      <c r="C42" s="5">
        <v>0.28932999999999998</v>
      </c>
      <c r="D42">
        <v>0</v>
      </c>
      <c r="E42" s="5">
        <v>9.1660000000000005E-2</v>
      </c>
    </row>
    <row r="43" spans="1:9" x14ac:dyDescent="0.25">
      <c r="A43" s="1" t="s">
        <v>4</v>
      </c>
      <c r="B43" s="5">
        <v>0.25635999999999998</v>
      </c>
      <c r="C43" s="5">
        <v>0.28589999999999999</v>
      </c>
      <c r="D43">
        <v>0</v>
      </c>
      <c r="E43" s="5">
        <v>5.6500000000000002E-2</v>
      </c>
    </row>
    <row r="44" spans="1:9" x14ac:dyDescent="0.25">
      <c r="A44" s="1" t="s">
        <v>5</v>
      </c>
      <c r="B44" s="5">
        <v>0.26471</v>
      </c>
      <c r="C44" s="5">
        <v>0.28100999999999998</v>
      </c>
      <c r="D44">
        <v>0</v>
      </c>
      <c r="E44" s="5">
        <v>0.1114</v>
      </c>
    </row>
    <row r="47" spans="1:9" x14ac:dyDescent="0.25">
      <c r="A47" s="20" t="s">
        <v>20</v>
      </c>
      <c r="B47" s="20"/>
      <c r="C47" s="20"/>
      <c r="D47" s="20"/>
      <c r="E47" s="20"/>
      <c r="F47" s="20"/>
      <c r="G47" s="20"/>
    </row>
    <row r="48" spans="1:9" x14ac:dyDescent="0.25">
      <c r="A48" s="15" t="s">
        <v>15</v>
      </c>
      <c r="B48" s="15"/>
      <c r="C48" s="15"/>
      <c r="D48" s="15"/>
      <c r="E48" s="15"/>
      <c r="F48" s="15"/>
      <c r="G48" s="15"/>
    </row>
    <row r="49" spans="1:9" ht="30" x14ac:dyDescent="0.25">
      <c r="A49" s="2"/>
      <c r="B49" s="1" t="s">
        <v>6</v>
      </c>
      <c r="C49" s="3" t="s">
        <v>7</v>
      </c>
      <c r="D49" s="1" t="s">
        <v>8</v>
      </c>
      <c r="E49" s="3" t="s">
        <v>9</v>
      </c>
      <c r="F49" s="1" t="s">
        <v>0</v>
      </c>
      <c r="G49" s="1" t="s">
        <v>10</v>
      </c>
      <c r="H49" s="11" t="s">
        <v>24</v>
      </c>
      <c r="I49" s="12" t="s">
        <v>25</v>
      </c>
    </row>
    <row r="50" spans="1:9" x14ac:dyDescent="0.25">
      <c r="A50" s="1" t="s">
        <v>1</v>
      </c>
      <c r="B50">
        <v>6.8999999999999999E-3</v>
      </c>
      <c r="C50">
        <v>0</v>
      </c>
      <c r="D50">
        <v>0</v>
      </c>
      <c r="E50">
        <v>0</v>
      </c>
      <c r="F50">
        <v>0.50700000000000001</v>
      </c>
      <c r="G50">
        <v>0.51400000000000001</v>
      </c>
      <c r="H50">
        <v>0</v>
      </c>
      <c r="I50">
        <v>3.2300000000000002E-2</v>
      </c>
    </row>
    <row r="51" spans="1:9" x14ac:dyDescent="0.25">
      <c r="A51" s="1" t="s">
        <v>2</v>
      </c>
      <c r="B51">
        <v>7.6E-3</v>
      </c>
      <c r="C51">
        <v>0</v>
      </c>
      <c r="D51">
        <v>0</v>
      </c>
      <c r="E51">
        <v>0</v>
      </c>
      <c r="F51">
        <v>0.498</v>
      </c>
      <c r="G51">
        <v>0.51300000000000001</v>
      </c>
      <c r="H51">
        <v>0</v>
      </c>
      <c r="I51">
        <v>2.6499999999999999E-2</v>
      </c>
    </row>
    <row r="52" spans="1:9" x14ac:dyDescent="0.25">
      <c r="A52" s="1" t="s">
        <v>3</v>
      </c>
      <c r="B52">
        <v>6.7000000000000002E-3</v>
      </c>
      <c r="C52">
        <v>0</v>
      </c>
      <c r="D52">
        <v>0</v>
      </c>
      <c r="E52">
        <v>0</v>
      </c>
      <c r="F52">
        <v>0.498</v>
      </c>
      <c r="G52">
        <v>0.50800000000000001</v>
      </c>
      <c r="H52">
        <v>0</v>
      </c>
      <c r="I52">
        <v>3.5000000000000003E-2</v>
      </c>
    </row>
    <row r="53" spans="1:9" x14ac:dyDescent="0.25">
      <c r="A53" s="1" t="s">
        <v>4</v>
      </c>
      <c r="B53">
        <v>4.3E-3</v>
      </c>
      <c r="C53">
        <v>0</v>
      </c>
      <c r="D53">
        <v>0</v>
      </c>
      <c r="E53">
        <v>0</v>
      </c>
      <c r="F53">
        <v>0.48799999999999999</v>
      </c>
      <c r="G53">
        <v>0.505</v>
      </c>
      <c r="H53">
        <v>0</v>
      </c>
      <c r="I53">
        <v>3.6799999999999999E-2</v>
      </c>
    </row>
    <row r="54" spans="1:9" x14ac:dyDescent="0.25">
      <c r="A54" s="1" t="s">
        <v>5</v>
      </c>
      <c r="B54">
        <v>4.7999999999999996E-3</v>
      </c>
      <c r="C54">
        <v>0</v>
      </c>
      <c r="D54">
        <v>0</v>
      </c>
      <c r="E54">
        <v>0</v>
      </c>
      <c r="F54">
        <v>0.49199999999999999</v>
      </c>
      <c r="G54">
        <v>0.52300000000000002</v>
      </c>
      <c r="H54">
        <v>0</v>
      </c>
      <c r="I54">
        <v>4.02E-2</v>
      </c>
    </row>
    <row r="56" spans="1:9" x14ac:dyDescent="0.25">
      <c r="A56" s="18" t="s">
        <v>14</v>
      </c>
      <c r="B56" s="18"/>
      <c r="C56" s="18"/>
    </row>
    <row r="57" spans="1:9" x14ac:dyDescent="0.25">
      <c r="A57" s="8"/>
      <c r="B57" s="1" t="s">
        <v>10</v>
      </c>
      <c r="C57" s="1" t="s">
        <v>0</v>
      </c>
      <c r="D57" s="1" t="s">
        <v>6</v>
      </c>
      <c r="E57" s="11" t="s">
        <v>24</v>
      </c>
      <c r="F57" s="12" t="s">
        <v>25</v>
      </c>
    </row>
    <row r="58" spans="1:9" x14ac:dyDescent="0.25">
      <c r="A58" s="1" t="s">
        <v>1</v>
      </c>
      <c r="B58" s="5">
        <v>0.72494999999999998</v>
      </c>
      <c r="C58" s="5">
        <v>0.71103000000000005</v>
      </c>
      <c r="D58" s="5">
        <v>1.4659999999999999E-2</v>
      </c>
      <c r="E58" s="5">
        <v>0</v>
      </c>
      <c r="F58" s="5">
        <v>2.6013000000000001E-2</v>
      </c>
    </row>
    <row r="59" spans="1:9" x14ac:dyDescent="0.25">
      <c r="A59" s="1" t="s">
        <v>2</v>
      </c>
      <c r="B59" s="5">
        <v>0.72079000000000004</v>
      </c>
      <c r="C59" s="5">
        <v>0.70164000000000004</v>
      </c>
      <c r="D59" s="5">
        <v>2.069E-2</v>
      </c>
      <c r="E59" s="5">
        <v>0</v>
      </c>
      <c r="F59" s="5">
        <v>2.5069999999999999E-2</v>
      </c>
    </row>
    <row r="60" spans="1:9" x14ac:dyDescent="0.25">
      <c r="A60" s="1" t="s">
        <v>3</v>
      </c>
      <c r="B60" s="5">
        <v>0.72019</v>
      </c>
      <c r="C60" s="5">
        <v>0.70191999999999999</v>
      </c>
      <c r="D60" s="5">
        <v>3.7330000000000002E-2</v>
      </c>
      <c r="E60" s="5">
        <v>0</v>
      </c>
      <c r="F60" s="5">
        <v>3.1400999999999998E-2</v>
      </c>
    </row>
    <row r="61" spans="1:9" x14ac:dyDescent="0.25">
      <c r="A61" s="1" t="s">
        <v>4</v>
      </c>
      <c r="B61" s="5">
        <v>0.71465000000000001</v>
      </c>
      <c r="C61" s="5">
        <v>0.68279000000000001</v>
      </c>
      <c r="D61" s="5">
        <v>1.336E-2</v>
      </c>
      <c r="E61" s="5">
        <v>0</v>
      </c>
      <c r="F61" s="5">
        <v>3.2207E-2</v>
      </c>
    </row>
    <row r="62" spans="1:9" x14ac:dyDescent="0.25">
      <c r="A62" s="1" t="s">
        <v>5</v>
      </c>
      <c r="B62" s="5">
        <v>0.73109000000000002</v>
      </c>
      <c r="C62" s="5">
        <v>0.69193000000000005</v>
      </c>
      <c r="D62" s="5">
        <v>8.6E-3</v>
      </c>
      <c r="E62" s="5">
        <v>0</v>
      </c>
      <c r="F62" s="5">
        <v>3.8940000000000002E-2</v>
      </c>
    </row>
    <row r="66" spans="1:9" x14ac:dyDescent="0.25">
      <c r="A66" s="20" t="s">
        <v>21</v>
      </c>
      <c r="B66" s="20"/>
      <c r="C66" s="20"/>
      <c r="D66" s="20"/>
      <c r="E66" s="20"/>
      <c r="F66" s="20"/>
      <c r="G66" s="20"/>
    </row>
    <row r="67" spans="1:9" x14ac:dyDescent="0.25">
      <c r="A67" s="15" t="s">
        <v>15</v>
      </c>
      <c r="B67" s="15"/>
      <c r="C67" s="15"/>
      <c r="D67" s="15"/>
      <c r="E67" s="15"/>
      <c r="F67" s="15"/>
      <c r="G67" s="15"/>
    </row>
    <row r="68" spans="1:9" ht="30" x14ac:dyDescent="0.25">
      <c r="A68" s="2"/>
      <c r="B68" s="1" t="s">
        <v>6</v>
      </c>
      <c r="C68" s="3" t="s">
        <v>7</v>
      </c>
      <c r="D68" s="1" t="s">
        <v>8</v>
      </c>
      <c r="E68" s="3" t="s">
        <v>9</v>
      </c>
      <c r="F68" s="1" t="s">
        <v>0</v>
      </c>
      <c r="G68" s="1" t="s">
        <v>10</v>
      </c>
      <c r="H68" s="11" t="s">
        <v>24</v>
      </c>
      <c r="I68" s="12" t="s">
        <v>30</v>
      </c>
    </row>
    <row r="69" spans="1:9" x14ac:dyDescent="0.25">
      <c r="A69" s="1" t="s">
        <v>1</v>
      </c>
      <c r="B69">
        <v>3.5999999999999997E-2</v>
      </c>
      <c r="C69">
        <v>0</v>
      </c>
      <c r="D69">
        <v>0</v>
      </c>
      <c r="E69">
        <v>0</v>
      </c>
      <c r="F69">
        <v>0.85799999999999998</v>
      </c>
      <c r="G69">
        <v>0.88500000000000001</v>
      </c>
      <c r="H69">
        <v>0</v>
      </c>
      <c r="I69">
        <v>3.2899999999999999E-2</v>
      </c>
    </row>
    <row r="70" spans="1:9" x14ac:dyDescent="0.25">
      <c r="A70" s="1" t="s">
        <v>2</v>
      </c>
      <c r="B70">
        <v>8.1640000000000004E-2</v>
      </c>
      <c r="C70">
        <v>0</v>
      </c>
      <c r="D70">
        <v>0</v>
      </c>
      <c r="E70">
        <v>0</v>
      </c>
      <c r="F70">
        <v>0.85099999999999998</v>
      </c>
      <c r="G70">
        <v>0.86799999999999999</v>
      </c>
      <c r="H70">
        <v>0</v>
      </c>
      <c r="I70">
        <v>2.4899999999999999E-2</v>
      </c>
    </row>
    <row r="71" spans="1:9" x14ac:dyDescent="0.25">
      <c r="A71" s="1" t="s">
        <v>3</v>
      </c>
      <c r="B71">
        <v>7.3400000000000007E-2</v>
      </c>
      <c r="C71">
        <v>0</v>
      </c>
      <c r="D71">
        <v>0</v>
      </c>
      <c r="E71">
        <v>0</v>
      </c>
      <c r="F71">
        <v>0.86</v>
      </c>
      <c r="G71">
        <v>0.87170000000000003</v>
      </c>
      <c r="H71">
        <v>0</v>
      </c>
      <c r="I71">
        <v>2.2800000000000001E-2</v>
      </c>
    </row>
    <row r="72" spans="1:9" x14ac:dyDescent="0.25">
      <c r="A72" s="1" t="s">
        <v>4</v>
      </c>
      <c r="B72">
        <v>6.0999999999999999E-2</v>
      </c>
      <c r="C72">
        <v>0</v>
      </c>
      <c r="D72">
        <v>0</v>
      </c>
      <c r="E72">
        <v>0</v>
      </c>
      <c r="F72">
        <v>0.86119999999999997</v>
      </c>
      <c r="G72">
        <v>0.88200000000000001</v>
      </c>
      <c r="H72">
        <v>0</v>
      </c>
      <c r="I72">
        <v>3.4639999999999997E-2</v>
      </c>
    </row>
    <row r="73" spans="1:9" x14ac:dyDescent="0.25">
      <c r="A73" s="1" t="s">
        <v>5</v>
      </c>
      <c r="B73">
        <v>5.7799999999999997E-2</v>
      </c>
      <c r="C73">
        <v>0</v>
      </c>
      <c r="D73">
        <v>0</v>
      </c>
      <c r="E73">
        <v>0</v>
      </c>
      <c r="F73">
        <v>0.86</v>
      </c>
      <c r="G73">
        <v>0.877</v>
      </c>
      <c r="H73">
        <v>0</v>
      </c>
      <c r="I73">
        <v>0.22</v>
      </c>
    </row>
    <row r="75" spans="1:9" x14ac:dyDescent="0.25">
      <c r="A75" s="18" t="s">
        <v>14</v>
      </c>
      <c r="B75" s="18"/>
      <c r="C75" s="18"/>
    </row>
    <row r="76" spans="1:9" x14ac:dyDescent="0.25">
      <c r="A76" s="8"/>
      <c r="B76" s="1" t="s">
        <v>10</v>
      </c>
      <c r="C76" s="1" t="s">
        <v>0</v>
      </c>
      <c r="D76" s="1" t="s">
        <v>6</v>
      </c>
      <c r="E76" s="11" t="s">
        <v>24</v>
      </c>
      <c r="F76" s="12" t="s">
        <v>25</v>
      </c>
    </row>
    <row r="77" spans="1:9" x14ac:dyDescent="0.25">
      <c r="A77" s="1" t="s">
        <v>1</v>
      </c>
      <c r="B77" s="5">
        <v>3.0299200000000002</v>
      </c>
      <c r="C77" s="5">
        <v>2.9322900000000001</v>
      </c>
      <c r="D77" s="5">
        <v>0.167689</v>
      </c>
      <c r="E77" s="5">
        <v>0</v>
      </c>
      <c r="F77" s="5">
        <v>0.1197</v>
      </c>
    </row>
    <row r="78" spans="1:9" x14ac:dyDescent="0.25">
      <c r="A78" s="1" t="s">
        <v>2</v>
      </c>
      <c r="B78" s="5">
        <v>3.0076299999999998</v>
      </c>
      <c r="C78" s="5">
        <v>2.9215800000000001</v>
      </c>
      <c r="D78" s="5">
        <v>0.31413999999999997</v>
      </c>
      <c r="E78" s="5">
        <v>0</v>
      </c>
      <c r="F78" s="5">
        <v>0.1048</v>
      </c>
    </row>
    <row r="79" spans="1:9" x14ac:dyDescent="0.25">
      <c r="A79" s="1" t="s">
        <v>3</v>
      </c>
      <c r="B79" s="5">
        <v>3.0062000000000002</v>
      </c>
      <c r="C79" s="5">
        <v>2.9483100000000002</v>
      </c>
      <c r="D79" s="5">
        <v>0.360707</v>
      </c>
      <c r="E79" s="5">
        <v>0</v>
      </c>
      <c r="F79" s="5">
        <v>8.4900000000000003E-2</v>
      </c>
    </row>
    <row r="80" spans="1:9" x14ac:dyDescent="0.25">
      <c r="A80" s="1" t="s">
        <v>4</v>
      </c>
      <c r="B80" s="5">
        <v>3.0301999999999998</v>
      </c>
      <c r="C80" s="5">
        <v>2.9579200000000001</v>
      </c>
      <c r="D80" s="5">
        <v>0.29751699999999998</v>
      </c>
      <c r="E80" s="5">
        <v>0</v>
      </c>
      <c r="F80" s="5">
        <v>0.10249999999999999</v>
      </c>
    </row>
    <row r="81" spans="1:13" x14ac:dyDescent="0.25">
      <c r="A81" s="1" t="s">
        <v>5</v>
      </c>
      <c r="B81" s="5">
        <v>3.0230800000000002</v>
      </c>
      <c r="C81" s="5">
        <v>2.9583550000000001</v>
      </c>
      <c r="D81" s="5">
        <v>0.24713599999999999</v>
      </c>
      <c r="E81" s="5">
        <v>0</v>
      </c>
      <c r="F81" s="5">
        <v>9.4500000000000001E-2</v>
      </c>
    </row>
    <row r="82" spans="1:13" x14ac:dyDescent="0.25">
      <c r="E82" s="5"/>
    </row>
    <row r="83" spans="1:13" x14ac:dyDescent="0.25">
      <c r="E83" s="5"/>
    </row>
    <row r="84" spans="1:13" x14ac:dyDescent="0.25">
      <c r="E84" s="5"/>
    </row>
    <row r="86" spans="1:13" x14ac:dyDescent="0.25">
      <c r="A86" s="16" t="s">
        <v>23</v>
      </c>
      <c r="B86" s="16"/>
      <c r="C86" s="16"/>
      <c r="D86" s="16"/>
      <c r="E86" s="16"/>
      <c r="F86" s="16"/>
      <c r="G86" s="16"/>
    </row>
    <row r="87" spans="1:13" x14ac:dyDescent="0.25">
      <c r="A87" s="15" t="s">
        <v>12</v>
      </c>
      <c r="B87" s="15"/>
      <c r="C87" s="15"/>
      <c r="D87" s="15"/>
      <c r="E87" s="15"/>
      <c r="F87" s="15"/>
      <c r="G87" s="15"/>
      <c r="I87" s="9"/>
      <c r="J87" s="1" t="s">
        <v>0</v>
      </c>
      <c r="K87" s="1" t="s">
        <v>10</v>
      </c>
      <c r="L87" s="11" t="s">
        <v>31</v>
      </c>
      <c r="M87" s="12" t="s">
        <v>33</v>
      </c>
    </row>
    <row r="88" spans="1:13" x14ac:dyDescent="0.25">
      <c r="A88" s="9"/>
      <c r="B88" s="1" t="s">
        <v>0</v>
      </c>
      <c r="C88" s="1" t="s">
        <v>10</v>
      </c>
      <c r="D88" s="1" t="s">
        <v>6</v>
      </c>
      <c r="E88" s="11" t="s">
        <v>31</v>
      </c>
      <c r="F88" s="12" t="s">
        <v>33</v>
      </c>
      <c r="I88" s="10">
        <v>2</v>
      </c>
      <c r="J88" s="13">
        <v>0.14455999999999999</v>
      </c>
      <c r="K88" s="13">
        <v>0.16008</v>
      </c>
      <c r="L88">
        <v>0</v>
      </c>
      <c r="M88" s="13">
        <v>5.2207999999999997E-2</v>
      </c>
    </row>
    <row r="89" spans="1:13" x14ac:dyDescent="0.25">
      <c r="A89" s="10">
        <v>2</v>
      </c>
      <c r="B89">
        <f>AVERAGE(F4:F8)</f>
        <v>0.14455999999999999</v>
      </c>
      <c r="C89">
        <f>AVERAGE(G4:G8)</f>
        <v>0.16008</v>
      </c>
      <c r="D89">
        <v>0</v>
      </c>
      <c r="E89">
        <v>0</v>
      </c>
      <c r="F89">
        <f>AVERAGE(I4:I8)</f>
        <v>0.1</v>
      </c>
      <c r="I89" s="1">
        <v>4</v>
      </c>
      <c r="J89" s="13">
        <v>0.26247999999999999</v>
      </c>
      <c r="K89" s="13">
        <v>0.27643999999999996</v>
      </c>
      <c r="L89">
        <v>0</v>
      </c>
      <c r="M89" s="13">
        <v>4.4740000000000002E-2</v>
      </c>
    </row>
    <row r="90" spans="1:13" x14ac:dyDescent="0.25">
      <c r="A90" s="1">
        <v>4</v>
      </c>
      <c r="B90">
        <f>AVERAGE(F32:F36)</f>
        <v>0.26247999999999999</v>
      </c>
      <c r="C90">
        <f>AVERAGE(G32:G36)</f>
        <v>0.27643999999999996</v>
      </c>
      <c r="D90">
        <v>0</v>
      </c>
      <c r="E90">
        <v>0</v>
      </c>
      <c r="F90">
        <f>AVERAGE(I32:I36)</f>
        <v>0.1197</v>
      </c>
      <c r="I90" s="1">
        <v>8</v>
      </c>
      <c r="J90" s="13">
        <v>0.49659999999999993</v>
      </c>
      <c r="K90" s="13">
        <v>0.51260000000000006</v>
      </c>
      <c r="L90">
        <v>0</v>
      </c>
      <c r="M90" s="13">
        <v>3.4160000000000003E-2</v>
      </c>
    </row>
    <row r="91" spans="1:13" x14ac:dyDescent="0.25">
      <c r="A91" s="1">
        <v>8</v>
      </c>
      <c r="B91">
        <f>AVERAGE(F50:F54)</f>
        <v>0.49659999999999993</v>
      </c>
      <c r="C91">
        <f>AVERAGE(G50:G54)</f>
        <v>0.51260000000000006</v>
      </c>
      <c r="D91">
        <f>AVERAGE(B50:B54)</f>
        <v>6.0600000000000003E-3</v>
      </c>
      <c r="E91">
        <v>0</v>
      </c>
      <c r="F91">
        <f>AVERAGE(I50:I54)</f>
        <v>3.4160000000000003E-2</v>
      </c>
      <c r="I91" s="1">
        <v>16</v>
      </c>
      <c r="J91" s="13">
        <v>0.85804000000000014</v>
      </c>
      <c r="K91" s="13">
        <v>0.87674000000000007</v>
      </c>
      <c r="L91">
        <v>0</v>
      </c>
      <c r="M91" s="13">
        <v>6.4948000000000006E-2</v>
      </c>
    </row>
    <row r="92" spans="1:13" x14ac:dyDescent="0.25">
      <c r="A92" s="1">
        <v>16</v>
      </c>
      <c r="B92">
        <f>AVERAGE(F69:F73)</f>
        <v>0.85804000000000014</v>
      </c>
      <c r="C92">
        <f>AVERAGE(G69:G73)</f>
        <v>0.87674000000000007</v>
      </c>
      <c r="D92">
        <f>AVERAGE(B69:B73)</f>
        <v>6.1968000000000002E-2</v>
      </c>
      <c r="E92">
        <v>0</v>
      </c>
      <c r="F92">
        <f>AVERAGE(I69:I73)</f>
        <v>6.7047999999999996E-2</v>
      </c>
    </row>
    <row r="95" spans="1:13" x14ac:dyDescent="0.25">
      <c r="A95" s="17" t="s">
        <v>14</v>
      </c>
      <c r="B95" s="17"/>
      <c r="C95" s="17"/>
    </row>
    <row r="96" spans="1:13" x14ac:dyDescent="0.25">
      <c r="B96" s="1" t="s">
        <v>10</v>
      </c>
      <c r="C96" s="1" t="s">
        <v>0</v>
      </c>
      <c r="D96" s="1" t="s">
        <v>6</v>
      </c>
      <c r="E96" s="11" t="s">
        <v>27</v>
      </c>
      <c r="F96" s="12" t="s">
        <v>26</v>
      </c>
    </row>
    <row r="97" spans="1:6" x14ac:dyDescent="0.25">
      <c r="A97" s="1">
        <v>2</v>
      </c>
      <c r="B97" s="5">
        <f>AVERAGE(B21:B25)</f>
        <v>0.163248</v>
      </c>
      <c r="C97" s="5">
        <f>AVERAGE(C21:C25)</f>
        <v>0.14726</v>
      </c>
      <c r="D97" s="5">
        <v>0</v>
      </c>
      <c r="E97">
        <v>0</v>
      </c>
      <c r="F97" s="5">
        <f>AVERAGE(E21:E25)</f>
        <v>0.10617259999999999</v>
      </c>
    </row>
    <row r="98" spans="1:6" x14ac:dyDescent="0.25">
      <c r="A98" s="1">
        <v>4</v>
      </c>
      <c r="B98" s="5">
        <f>AVERAGE(B40:B44)</f>
        <v>0.28891600000000001</v>
      </c>
      <c r="C98" s="5">
        <f>AVERAGE(C40:C44)</f>
        <v>0.285495</v>
      </c>
      <c r="D98" s="5">
        <v>0</v>
      </c>
      <c r="E98">
        <v>0</v>
      </c>
      <c r="F98" s="5">
        <f>AVERAGE(E40:E44)</f>
        <v>7.8771999999999995E-2</v>
      </c>
    </row>
    <row r="99" spans="1:6" x14ac:dyDescent="0.25">
      <c r="A99" s="1">
        <v>8</v>
      </c>
      <c r="B99" s="5">
        <f>AVERAGE(B58:B62)</f>
        <v>0.72233400000000003</v>
      </c>
      <c r="C99" s="5">
        <f>AVERAGE(C58:C62)</f>
        <v>0.69786200000000009</v>
      </c>
      <c r="D99" s="5">
        <f>AVERAGE(D58:D62)</f>
        <v>1.8927999999999997E-2</v>
      </c>
      <c r="E99">
        <v>0</v>
      </c>
      <c r="F99" s="5">
        <f>AVERAGE(F58:F62)</f>
        <v>3.0726200000000002E-2</v>
      </c>
    </row>
    <row r="100" spans="1:6" x14ac:dyDescent="0.25">
      <c r="A100" s="1">
        <v>16</v>
      </c>
      <c r="B100" s="5">
        <f>AVERAGE(B77:B81)</f>
        <v>3.019406</v>
      </c>
      <c r="C100" s="5">
        <f>AVERAGE(C77:C81)</f>
        <v>2.9436909999999998</v>
      </c>
      <c r="D100" s="5">
        <f>AVERAGE(D77:D81)</f>
        <v>0.27743780000000001</v>
      </c>
      <c r="E100">
        <v>0</v>
      </c>
      <c r="F100" s="5">
        <f>AVERAGE(F77:F81)</f>
        <v>0.10128</v>
      </c>
    </row>
  </sheetData>
  <mergeCells count="16">
    <mergeCell ref="A1:G1"/>
    <mergeCell ref="A2:G2"/>
    <mergeCell ref="A11:C11"/>
    <mergeCell ref="A19:C19"/>
    <mergeCell ref="A66:G66"/>
    <mergeCell ref="A29:G29"/>
    <mergeCell ref="A30:G30"/>
    <mergeCell ref="A38:C38"/>
    <mergeCell ref="A47:G47"/>
    <mergeCell ref="A48:G48"/>
    <mergeCell ref="A56:C56"/>
    <mergeCell ref="A86:G86"/>
    <mergeCell ref="A87:G87"/>
    <mergeCell ref="A95:C95"/>
    <mergeCell ref="A67:G67"/>
    <mergeCell ref="A75:C75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4D72-F78A-4DDA-B457-73CCDF99CA64}">
  <dimension ref="A2:I54"/>
  <sheetViews>
    <sheetView topLeftCell="A43" zoomScale="85" zoomScaleNormal="85" workbookViewId="0">
      <selection activeCell="I45" sqref="I45"/>
    </sheetView>
  </sheetViews>
  <sheetFormatPr defaultRowHeight="15" x14ac:dyDescent="0.25"/>
  <cols>
    <col min="2" max="2" width="15.85546875" bestFit="1" customWidth="1"/>
    <col min="3" max="3" width="17" customWidth="1"/>
    <col min="4" max="4" width="38.28515625" bestFit="1" customWidth="1"/>
    <col min="5" max="5" width="24.140625" customWidth="1"/>
    <col min="6" max="6" width="9.5703125" bestFit="1" customWidth="1"/>
    <col min="7" max="7" width="6.140625" bestFit="1" customWidth="1"/>
    <col min="8" max="8" width="21.85546875" bestFit="1" customWidth="1"/>
    <col min="9" max="9" width="23.28515625" bestFit="1" customWidth="1"/>
  </cols>
  <sheetData>
    <row r="2" spans="1:9" ht="15" customHeight="1" x14ac:dyDescent="0.25">
      <c r="A2" s="14" t="s">
        <v>18</v>
      </c>
      <c r="B2" s="14"/>
      <c r="C2" s="14"/>
      <c r="D2" s="14"/>
      <c r="E2" s="14"/>
      <c r="F2" s="14"/>
      <c r="G2" s="14"/>
    </row>
    <row r="3" spans="1:9" x14ac:dyDescent="0.25">
      <c r="A3" s="21" t="s">
        <v>17</v>
      </c>
      <c r="B3" s="22"/>
      <c r="C3" s="22"/>
      <c r="D3" s="22"/>
      <c r="E3" s="22"/>
      <c r="F3" s="22"/>
      <c r="G3" s="23"/>
    </row>
    <row r="4" spans="1:9" ht="45" x14ac:dyDescent="0.25">
      <c r="A4" s="7"/>
      <c r="B4" s="3" t="s">
        <v>6</v>
      </c>
      <c r="C4" s="3" t="s">
        <v>7</v>
      </c>
      <c r="D4" s="3" t="s">
        <v>8</v>
      </c>
      <c r="E4" s="3" t="s">
        <v>9</v>
      </c>
      <c r="F4" s="3" t="s">
        <v>0</v>
      </c>
      <c r="G4" s="3" t="s">
        <v>10</v>
      </c>
      <c r="H4" s="11" t="s">
        <v>24</v>
      </c>
      <c r="I4" s="12" t="s">
        <v>25</v>
      </c>
    </row>
    <row r="5" spans="1:9" x14ac:dyDescent="0.25">
      <c r="A5" s="3" t="s">
        <v>1</v>
      </c>
      <c r="B5" s="6">
        <v>32</v>
      </c>
      <c r="C5" s="6">
        <v>60</v>
      </c>
      <c r="D5" s="6">
        <v>786</v>
      </c>
      <c r="E5" s="6">
        <v>962</v>
      </c>
      <c r="F5" s="6">
        <v>4</v>
      </c>
      <c r="G5" s="6">
        <v>71</v>
      </c>
      <c r="H5" s="6">
        <v>7</v>
      </c>
      <c r="I5" s="6">
        <v>8</v>
      </c>
    </row>
    <row r="6" spans="1:9" x14ac:dyDescent="0.25">
      <c r="A6" s="3" t="s">
        <v>2</v>
      </c>
      <c r="B6" s="6">
        <v>36</v>
      </c>
      <c r="C6" s="6">
        <v>45</v>
      </c>
      <c r="D6" s="6">
        <v>871</v>
      </c>
      <c r="E6" s="6">
        <v>741</v>
      </c>
      <c r="F6" s="6">
        <v>3</v>
      </c>
      <c r="G6" s="6">
        <v>46</v>
      </c>
      <c r="H6" s="6">
        <v>7</v>
      </c>
      <c r="I6" s="6">
        <v>9</v>
      </c>
    </row>
    <row r="7" spans="1:9" x14ac:dyDescent="0.25">
      <c r="A7" s="3" t="s">
        <v>3</v>
      </c>
      <c r="B7" s="6">
        <v>35</v>
      </c>
      <c r="C7" s="6">
        <v>32</v>
      </c>
      <c r="D7" s="6">
        <v>829</v>
      </c>
      <c r="E7" s="6">
        <v>792</v>
      </c>
      <c r="F7" s="6">
        <v>5</v>
      </c>
      <c r="G7" s="6">
        <v>56</v>
      </c>
      <c r="H7" s="6">
        <v>15</v>
      </c>
      <c r="I7" s="6">
        <v>6</v>
      </c>
    </row>
    <row r="8" spans="1:9" x14ac:dyDescent="0.25">
      <c r="A8" s="3" t="s">
        <v>4</v>
      </c>
      <c r="B8" s="6">
        <v>27</v>
      </c>
      <c r="C8" s="6">
        <v>31</v>
      </c>
      <c r="D8" s="6">
        <v>925</v>
      </c>
      <c r="E8" s="6">
        <v>791</v>
      </c>
      <c r="F8" s="6">
        <v>2</v>
      </c>
      <c r="G8" s="6">
        <v>63</v>
      </c>
      <c r="H8" s="6">
        <v>23</v>
      </c>
      <c r="I8" s="6">
        <v>39</v>
      </c>
    </row>
    <row r="9" spans="1:9" x14ac:dyDescent="0.25">
      <c r="A9" s="3" t="s">
        <v>5</v>
      </c>
      <c r="B9" s="6">
        <v>44</v>
      </c>
      <c r="C9" s="6">
        <v>47</v>
      </c>
      <c r="D9" s="6">
        <v>847</v>
      </c>
      <c r="E9" s="6">
        <v>947</v>
      </c>
      <c r="F9" s="6">
        <v>12</v>
      </c>
      <c r="G9" s="6">
        <v>29</v>
      </c>
      <c r="H9" s="6">
        <v>5</v>
      </c>
      <c r="I9" s="6">
        <v>9</v>
      </c>
    </row>
    <row r="12" spans="1:9" ht="15" customHeight="1" x14ac:dyDescent="0.25">
      <c r="A12" s="14" t="s">
        <v>19</v>
      </c>
      <c r="B12" s="14"/>
      <c r="C12" s="14"/>
      <c r="D12" s="14"/>
      <c r="E12" s="14"/>
      <c r="F12" s="14"/>
      <c r="G12" s="14"/>
    </row>
    <row r="13" spans="1:9" x14ac:dyDescent="0.25">
      <c r="A13" s="21" t="s">
        <v>17</v>
      </c>
      <c r="B13" s="22"/>
      <c r="C13" s="22"/>
      <c r="D13" s="22"/>
      <c r="E13" s="22"/>
      <c r="F13" s="22"/>
      <c r="G13" s="23"/>
    </row>
    <row r="14" spans="1:9" ht="45" x14ac:dyDescent="0.25">
      <c r="A14" s="2"/>
      <c r="B14" s="1" t="s">
        <v>6</v>
      </c>
      <c r="C14" s="3" t="s">
        <v>7</v>
      </c>
      <c r="D14" s="1" t="s">
        <v>8</v>
      </c>
      <c r="E14" s="3" t="s">
        <v>9</v>
      </c>
      <c r="F14" s="1" t="s">
        <v>0</v>
      </c>
      <c r="G14" s="1" t="s">
        <v>10</v>
      </c>
      <c r="H14" s="11" t="s">
        <v>24</v>
      </c>
      <c r="I14" s="12" t="s">
        <v>25</v>
      </c>
    </row>
    <row r="15" spans="1:9" x14ac:dyDescent="0.25">
      <c r="A15" s="1" t="s">
        <v>1</v>
      </c>
      <c r="B15">
        <v>289</v>
      </c>
      <c r="C15">
        <v>545</v>
      </c>
      <c r="D15">
        <v>1543</v>
      </c>
      <c r="E15">
        <v>977</v>
      </c>
      <c r="F15">
        <v>17</v>
      </c>
      <c r="G15">
        <v>25</v>
      </c>
      <c r="H15">
        <v>36</v>
      </c>
      <c r="I15">
        <v>99</v>
      </c>
    </row>
    <row r="16" spans="1:9" x14ac:dyDescent="0.25">
      <c r="A16" s="1" t="s">
        <v>2</v>
      </c>
      <c r="B16">
        <v>237</v>
      </c>
      <c r="C16">
        <v>523</v>
      </c>
      <c r="D16">
        <v>1709</v>
      </c>
      <c r="E16">
        <v>1049</v>
      </c>
      <c r="F16">
        <v>24</v>
      </c>
      <c r="G16">
        <v>65</v>
      </c>
      <c r="H16">
        <v>90</v>
      </c>
      <c r="I16">
        <v>61</v>
      </c>
    </row>
    <row r="17" spans="1:9" x14ac:dyDescent="0.25">
      <c r="A17" s="1" t="s">
        <v>3</v>
      </c>
      <c r="B17">
        <v>502</v>
      </c>
      <c r="C17">
        <v>364</v>
      </c>
      <c r="D17">
        <v>2685</v>
      </c>
      <c r="E17">
        <v>1082</v>
      </c>
      <c r="F17">
        <v>25</v>
      </c>
      <c r="G17">
        <v>42</v>
      </c>
      <c r="H17">
        <v>22</v>
      </c>
      <c r="I17">
        <v>66</v>
      </c>
    </row>
    <row r="18" spans="1:9" x14ac:dyDescent="0.25">
      <c r="A18" s="1" t="s">
        <v>4</v>
      </c>
      <c r="B18">
        <v>201</v>
      </c>
      <c r="C18">
        <v>684</v>
      </c>
      <c r="D18">
        <v>1366</v>
      </c>
      <c r="E18">
        <v>980</v>
      </c>
      <c r="F18">
        <v>13</v>
      </c>
      <c r="G18">
        <v>49</v>
      </c>
      <c r="H18">
        <v>96</v>
      </c>
      <c r="I18">
        <v>47</v>
      </c>
    </row>
    <row r="19" spans="1:9" x14ac:dyDescent="0.25">
      <c r="A19" s="1" t="s">
        <v>5</v>
      </c>
      <c r="B19">
        <v>402</v>
      </c>
      <c r="C19">
        <v>301</v>
      </c>
      <c r="D19">
        <v>1024</v>
      </c>
      <c r="E19">
        <v>1065</v>
      </c>
      <c r="F19">
        <v>11</v>
      </c>
      <c r="G19">
        <v>39</v>
      </c>
      <c r="H19">
        <v>83</v>
      </c>
      <c r="I19">
        <v>81</v>
      </c>
    </row>
    <row r="26" spans="1:9" x14ac:dyDescent="0.25">
      <c r="A26" s="20" t="s">
        <v>20</v>
      </c>
      <c r="B26" s="20"/>
      <c r="C26" s="20"/>
      <c r="D26" s="20"/>
      <c r="E26" s="20"/>
      <c r="F26" s="20"/>
      <c r="G26" s="20"/>
    </row>
    <row r="27" spans="1:9" x14ac:dyDescent="0.25">
      <c r="A27" s="21" t="s">
        <v>17</v>
      </c>
      <c r="B27" s="22"/>
      <c r="C27" s="22"/>
      <c r="D27" s="22"/>
      <c r="E27" s="22"/>
      <c r="F27" s="22"/>
      <c r="G27" s="23"/>
    </row>
    <row r="28" spans="1:9" ht="45" x14ac:dyDescent="0.25">
      <c r="A28" s="2"/>
      <c r="B28" s="1" t="s">
        <v>6</v>
      </c>
      <c r="C28" s="3" t="s">
        <v>7</v>
      </c>
      <c r="D28" s="1" t="s">
        <v>8</v>
      </c>
      <c r="E28" s="3" t="s">
        <v>9</v>
      </c>
      <c r="F28" s="1" t="s">
        <v>0</v>
      </c>
      <c r="G28" s="1" t="s">
        <v>10</v>
      </c>
      <c r="H28" s="11" t="s">
        <v>24</v>
      </c>
      <c r="I28" s="12" t="s">
        <v>25</v>
      </c>
    </row>
    <row r="29" spans="1:9" x14ac:dyDescent="0.25">
      <c r="A29" s="1" t="s">
        <v>1</v>
      </c>
      <c r="B29">
        <v>1882</v>
      </c>
      <c r="C29">
        <v>577</v>
      </c>
      <c r="D29">
        <v>2992</v>
      </c>
      <c r="E29">
        <v>1185</v>
      </c>
      <c r="F29">
        <v>32</v>
      </c>
      <c r="G29">
        <v>275</v>
      </c>
      <c r="H29">
        <v>102</v>
      </c>
      <c r="I29">
        <v>114</v>
      </c>
    </row>
    <row r="30" spans="1:9" x14ac:dyDescent="0.25">
      <c r="A30" s="1" t="s">
        <v>2</v>
      </c>
      <c r="B30">
        <v>2540</v>
      </c>
      <c r="C30">
        <v>571</v>
      </c>
      <c r="D30">
        <v>3203</v>
      </c>
      <c r="E30">
        <v>1186</v>
      </c>
      <c r="F30">
        <v>44</v>
      </c>
      <c r="G30">
        <v>188</v>
      </c>
      <c r="H30">
        <v>41</v>
      </c>
      <c r="I30">
        <v>98</v>
      </c>
    </row>
    <row r="31" spans="1:9" x14ac:dyDescent="0.25">
      <c r="A31" s="1" t="s">
        <v>3</v>
      </c>
      <c r="B31">
        <v>1177</v>
      </c>
      <c r="C31">
        <v>643</v>
      </c>
      <c r="D31">
        <v>3402</v>
      </c>
      <c r="E31">
        <v>1133</v>
      </c>
      <c r="F31">
        <v>41</v>
      </c>
      <c r="G31">
        <v>175</v>
      </c>
      <c r="H31">
        <v>51</v>
      </c>
      <c r="I31">
        <v>119</v>
      </c>
    </row>
    <row r="32" spans="1:9" x14ac:dyDescent="0.25">
      <c r="A32" s="1" t="s">
        <v>4</v>
      </c>
      <c r="B32">
        <v>2008</v>
      </c>
      <c r="C32">
        <v>360</v>
      </c>
      <c r="D32">
        <v>3341</v>
      </c>
      <c r="E32">
        <v>1202</v>
      </c>
      <c r="F32">
        <v>63</v>
      </c>
      <c r="G32">
        <v>249</v>
      </c>
      <c r="H32">
        <v>67</v>
      </c>
      <c r="I32">
        <v>102</v>
      </c>
    </row>
    <row r="33" spans="1:9" x14ac:dyDescent="0.25">
      <c r="A33" s="1" t="s">
        <v>5</v>
      </c>
      <c r="B33">
        <v>1727</v>
      </c>
      <c r="C33">
        <v>603</v>
      </c>
      <c r="D33">
        <v>4038</v>
      </c>
      <c r="E33">
        <v>1173</v>
      </c>
      <c r="F33">
        <v>52</v>
      </c>
      <c r="G33">
        <v>119</v>
      </c>
      <c r="H33">
        <v>54</v>
      </c>
      <c r="I33">
        <v>86</v>
      </c>
    </row>
    <row r="38" spans="1:9" x14ac:dyDescent="0.25">
      <c r="A38" s="20" t="s">
        <v>21</v>
      </c>
      <c r="B38" s="20"/>
      <c r="C38" s="20"/>
      <c r="D38" s="20"/>
      <c r="E38" s="20"/>
      <c r="F38" s="20"/>
      <c r="G38" s="20"/>
    </row>
    <row r="39" spans="1:9" x14ac:dyDescent="0.25">
      <c r="A39" s="21" t="s">
        <v>17</v>
      </c>
      <c r="B39" s="22"/>
      <c r="C39" s="22"/>
      <c r="D39" s="22"/>
      <c r="E39" s="22"/>
      <c r="F39" s="22"/>
      <c r="G39" s="23"/>
    </row>
    <row r="40" spans="1:9" ht="45" x14ac:dyDescent="0.25">
      <c r="A40" s="2"/>
      <c r="B40" s="1" t="s">
        <v>6</v>
      </c>
      <c r="C40" s="3" t="s">
        <v>7</v>
      </c>
      <c r="D40" s="1" t="s">
        <v>8</v>
      </c>
      <c r="E40" s="3" t="s">
        <v>9</v>
      </c>
      <c r="F40" s="1" t="s">
        <v>0</v>
      </c>
      <c r="G40" s="1" t="s">
        <v>10</v>
      </c>
      <c r="H40" s="11" t="s">
        <v>24</v>
      </c>
      <c r="I40" s="12" t="s">
        <v>25</v>
      </c>
    </row>
    <row r="41" spans="1:9" x14ac:dyDescent="0.25">
      <c r="A41" s="1" t="s">
        <v>1</v>
      </c>
      <c r="B41">
        <v>4287</v>
      </c>
      <c r="C41">
        <v>933</v>
      </c>
      <c r="D41">
        <v>2995</v>
      </c>
      <c r="E41">
        <v>1161</v>
      </c>
      <c r="F41">
        <v>99</v>
      </c>
      <c r="G41">
        <v>139</v>
      </c>
      <c r="H41">
        <v>130</v>
      </c>
      <c r="I41">
        <v>126</v>
      </c>
    </row>
    <row r="42" spans="1:9" x14ac:dyDescent="0.25">
      <c r="A42" s="1" t="s">
        <v>2</v>
      </c>
      <c r="B42">
        <v>2874</v>
      </c>
      <c r="C42">
        <v>960</v>
      </c>
      <c r="D42">
        <v>3752</v>
      </c>
      <c r="E42">
        <v>1096</v>
      </c>
      <c r="F42">
        <v>83</v>
      </c>
      <c r="G42">
        <v>61</v>
      </c>
      <c r="H42">
        <v>134</v>
      </c>
      <c r="I42">
        <v>128</v>
      </c>
    </row>
    <row r="43" spans="1:9" x14ac:dyDescent="0.25">
      <c r="A43" s="1" t="s">
        <v>3</v>
      </c>
      <c r="B43">
        <v>4453</v>
      </c>
      <c r="C43">
        <v>1522</v>
      </c>
      <c r="D43">
        <v>3712</v>
      </c>
      <c r="E43">
        <v>1051</v>
      </c>
      <c r="F43">
        <v>67</v>
      </c>
      <c r="G43">
        <v>90</v>
      </c>
      <c r="H43">
        <v>142</v>
      </c>
      <c r="I43">
        <v>137</v>
      </c>
    </row>
    <row r="44" spans="1:9" x14ac:dyDescent="0.25">
      <c r="A44" s="1" t="s">
        <v>4</v>
      </c>
      <c r="B44">
        <v>4119</v>
      </c>
      <c r="C44">
        <v>1247</v>
      </c>
      <c r="D44">
        <v>3846</v>
      </c>
      <c r="E44">
        <v>1152</v>
      </c>
      <c r="F44">
        <v>104</v>
      </c>
      <c r="G44">
        <v>157</v>
      </c>
      <c r="H44">
        <v>124</v>
      </c>
      <c r="I44">
        <v>101</v>
      </c>
    </row>
    <row r="45" spans="1:9" x14ac:dyDescent="0.25">
      <c r="A45" s="1" t="s">
        <v>5</v>
      </c>
      <c r="B45">
        <v>3054</v>
      </c>
      <c r="C45">
        <v>2160</v>
      </c>
      <c r="D45">
        <v>4122</v>
      </c>
      <c r="E45">
        <v>1097</v>
      </c>
      <c r="F45">
        <v>120</v>
      </c>
      <c r="G45">
        <v>119</v>
      </c>
      <c r="H45">
        <v>119</v>
      </c>
      <c r="I45">
        <v>98</v>
      </c>
    </row>
    <row r="49" spans="1:9" x14ac:dyDescent="0.25">
      <c r="A49" s="16" t="s">
        <v>22</v>
      </c>
      <c r="B49" s="16"/>
      <c r="C49" s="16"/>
      <c r="D49" s="16"/>
      <c r="E49" s="16"/>
      <c r="F49" s="16"/>
      <c r="G49" s="16"/>
    </row>
    <row r="50" spans="1:9" ht="45" x14ac:dyDescent="0.25">
      <c r="A50" s="2"/>
      <c r="B50" s="1" t="s">
        <v>6</v>
      </c>
      <c r="C50" s="3" t="s">
        <v>7</v>
      </c>
      <c r="D50" s="1" t="s">
        <v>8</v>
      </c>
      <c r="E50" s="3" t="s">
        <v>9</v>
      </c>
      <c r="F50" s="1" t="s">
        <v>0</v>
      </c>
      <c r="G50" s="1" t="s">
        <v>10</v>
      </c>
      <c r="H50" s="11" t="s">
        <v>27</v>
      </c>
      <c r="I50" s="12" t="s">
        <v>26</v>
      </c>
    </row>
    <row r="51" spans="1:9" x14ac:dyDescent="0.25">
      <c r="A51" s="1">
        <v>2</v>
      </c>
      <c r="B51">
        <f t="shared" ref="B51:G51" si="0">AVERAGE(B5:B9)</f>
        <v>34.799999999999997</v>
      </c>
      <c r="C51">
        <f t="shared" si="0"/>
        <v>43</v>
      </c>
      <c r="D51">
        <f t="shared" si="0"/>
        <v>851.6</v>
      </c>
      <c r="E51">
        <f>AVERAGE(E5:E9)</f>
        <v>846.6</v>
      </c>
      <c r="F51">
        <f t="shared" si="0"/>
        <v>5.2</v>
      </c>
      <c r="G51">
        <f t="shared" si="0"/>
        <v>53</v>
      </c>
      <c r="H51">
        <f>AVERAGE(H5:H9)</f>
        <v>11.4</v>
      </c>
      <c r="I51">
        <f>AVERAGE(I5:I9)</f>
        <v>14.2</v>
      </c>
    </row>
    <row r="52" spans="1:9" x14ac:dyDescent="0.25">
      <c r="A52" s="1">
        <v>4</v>
      </c>
      <c r="B52">
        <f t="shared" ref="B52:G52" si="1">AVERAGE(B15:B19)</f>
        <v>326.2</v>
      </c>
      <c r="C52">
        <f t="shared" si="1"/>
        <v>483.4</v>
      </c>
      <c r="D52">
        <f t="shared" si="1"/>
        <v>1665.4</v>
      </c>
      <c r="E52">
        <f t="shared" si="1"/>
        <v>1030.5999999999999</v>
      </c>
      <c r="F52">
        <f t="shared" si="1"/>
        <v>18</v>
      </c>
      <c r="G52">
        <f t="shared" si="1"/>
        <v>44</v>
      </c>
      <c r="H52">
        <f>AVERAGE(H15:H19)</f>
        <v>65.400000000000006</v>
      </c>
      <c r="I52">
        <f>AVERAGE(I15:I19)</f>
        <v>70.8</v>
      </c>
    </row>
    <row r="53" spans="1:9" x14ac:dyDescent="0.25">
      <c r="A53" s="1">
        <v>8</v>
      </c>
      <c r="B53">
        <f t="shared" ref="B53:G53" si="2">AVERAGE(B29:B33)</f>
        <v>1866.8</v>
      </c>
      <c r="C53">
        <f t="shared" si="2"/>
        <v>550.79999999999995</v>
      </c>
      <c r="D53">
        <f t="shared" si="2"/>
        <v>3395.2</v>
      </c>
      <c r="E53">
        <f>AVERAGE(E29:E33)</f>
        <v>1175.8</v>
      </c>
      <c r="F53">
        <f t="shared" si="2"/>
        <v>46.4</v>
      </c>
      <c r="G53">
        <f t="shared" si="2"/>
        <v>201.2</v>
      </c>
      <c r="H53">
        <f>AVERAGE(H29:H33)</f>
        <v>63</v>
      </c>
      <c r="I53">
        <f>AVERAGE(I29:I33)</f>
        <v>103.8</v>
      </c>
    </row>
    <row r="54" spans="1:9" x14ac:dyDescent="0.25">
      <c r="A54" s="1">
        <v>16</v>
      </c>
      <c r="B54">
        <f t="shared" ref="B54:G54" si="3">AVERAGE(B41:B45)</f>
        <v>3757.4</v>
      </c>
      <c r="C54">
        <f t="shared" si="3"/>
        <v>1364.4</v>
      </c>
      <c r="D54">
        <f t="shared" si="3"/>
        <v>3685.4</v>
      </c>
      <c r="E54">
        <f t="shared" si="3"/>
        <v>1111.4000000000001</v>
      </c>
      <c r="F54">
        <f t="shared" si="3"/>
        <v>94.6</v>
      </c>
      <c r="G54">
        <f t="shared" si="3"/>
        <v>113.2</v>
      </c>
      <c r="H54">
        <f>AVERAGE(H41:H45)</f>
        <v>129.80000000000001</v>
      </c>
      <c r="I54">
        <f>AVERAGE(I41:I45)</f>
        <v>118</v>
      </c>
    </row>
  </sheetData>
  <mergeCells count="9">
    <mergeCell ref="A49:G49"/>
    <mergeCell ref="A27:G27"/>
    <mergeCell ref="A38:G38"/>
    <mergeCell ref="A39:G39"/>
    <mergeCell ref="A2:G2"/>
    <mergeCell ref="A3:G3"/>
    <mergeCell ref="A12:G12"/>
    <mergeCell ref="A13:G13"/>
    <mergeCell ref="A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2024-08-01T13:53:43Z</dcterms:created>
  <dcterms:modified xsi:type="dcterms:W3CDTF">2025-04-03T16:25:10Z</dcterms:modified>
</cp:coreProperties>
</file>